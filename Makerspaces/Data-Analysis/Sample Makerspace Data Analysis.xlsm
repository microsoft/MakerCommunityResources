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3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crosoft-my.sharepoint.com/personal/jefo_microsoft_com/Documents/ExternalPartners/NoM/NOMCON 2022/Workshop/Data Analysis/"/>
    </mc:Choice>
  </mc:AlternateContent>
  <xr:revisionPtr revIDLastSave="297" documentId="8_{9ED00CCC-B3DE-4BD1-B0A4-DCBE6ED3FB5F}" xr6:coauthVersionLast="47" xr6:coauthVersionMax="47" xr10:uidLastSave="{B8720E30-12E3-4677-AB6C-ECF421C1D7A3}"/>
  <bookViews>
    <workbookView xWindow="-110" yWindow="-110" windowWidth="25820" windowHeight="13900" firstSheet="3" activeTab="5" xr2:uid="{C74B174E-3D5A-4217-8355-655D537A190D}"/>
  </bookViews>
  <sheets>
    <sheet name="Demographics" sheetId="1" r:id="rId1"/>
    <sheet name="Borrowers" sheetId="2" r:id="rId2"/>
    <sheet name="Attendance" sheetId="3" r:id="rId3"/>
    <sheet name="Computer Users" sheetId="4" r:id="rId4"/>
    <sheet name="Makerspace Member List" sheetId="6" r:id="rId5"/>
    <sheet name="Makerspace Marketing" sheetId="7" r:id="rId6"/>
    <sheet name="Copyfromhere" sheetId="5" r:id="rId7"/>
  </sheets>
  <functionGroups builtInGroupCount="19"/>
  <definedNames>
    <definedName name="_xlchart.v1.0" hidden="1">Attendance!$D$1</definedName>
    <definedName name="_xlchart.v1.1" hidden="1">Attendance!$D$2:$D$252</definedName>
    <definedName name="_xlchart.v2.10" hidden="1">Attendance!$I$2:$I$12</definedName>
    <definedName name="_xlchart.v2.2" hidden="1">Attendance!$H$3:$H$12</definedName>
    <definedName name="_xlchart.v2.3" hidden="1">Attendance!$I$1</definedName>
    <definedName name="_xlchart.v2.4" hidden="1">Attendance!$I$3:$I$12</definedName>
    <definedName name="_xlchart.v2.5" hidden="1">Attendance!$H$2:$H$12</definedName>
    <definedName name="_xlchart.v2.6" hidden="1">Attendance!$I$1</definedName>
    <definedName name="_xlchart.v2.7" hidden="1">Attendance!$I$2:$I$12</definedName>
    <definedName name="_xlchart.v2.8" hidden="1">Attendance!$H$2:$H$12</definedName>
    <definedName name="_xlchart.v2.9" hidden="1">Attendance!$I$1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8" i="7" l="1"/>
  <c r="F8" i="7"/>
  <c r="G8" i="7"/>
  <c r="H8" i="7"/>
  <c r="I8" i="7"/>
  <c r="D8" i="7"/>
  <c r="E7" i="7"/>
  <c r="F7" i="7"/>
  <c r="G7" i="7"/>
  <c r="H7" i="7"/>
  <c r="I7" i="7"/>
  <c r="D7" i="7"/>
  <c r="I12" i="3"/>
  <c r="I11" i="3"/>
  <c r="I10" i="3"/>
  <c r="I9" i="3"/>
  <c r="I8" i="3"/>
  <c r="I7" i="3"/>
  <c r="I6" i="3"/>
  <c r="I4" i="3"/>
  <c r="I3" i="3"/>
  <c r="I5" i="3"/>
  <c r="D36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" i="3"/>
  <c r="I2" i="3" s="1"/>
  <c r="N7" i="7"/>
  <c r="N5" i="7"/>
  <c r="D6" i="7"/>
  <c r="E6" i="7"/>
  <c r="F6" i="7"/>
  <c r="G6" i="7"/>
  <c r="H6" i="7"/>
  <c r="I6" i="7"/>
  <c r="D3" i="7"/>
  <c r="D4" i="7"/>
  <c r="N2" i="7" s="1"/>
  <c r="D5" i="7"/>
  <c r="E3" i="7"/>
  <c r="E4" i="7"/>
  <c r="E5" i="7"/>
  <c r="F3" i="7"/>
  <c r="F4" i="7"/>
  <c r="F5" i="7"/>
  <c r="G3" i="7"/>
  <c r="G4" i="7"/>
  <c r="G5" i="7"/>
  <c r="H3" i="7"/>
  <c r="N6" i="7" s="1"/>
  <c r="H4" i="7"/>
  <c r="H5" i="7"/>
  <c r="I3" i="7"/>
  <c r="I4" i="7"/>
  <c r="I5" i="7"/>
  <c r="I2" i="7"/>
  <c r="H2" i="7"/>
  <c r="G2" i="7"/>
  <c r="F2" i="7"/>
  <c r="N4" i="7" s="1"/>
  <c r="E2" i="7"/>
  <c r="N3" i="7" s="1"/>
  <c r="D2" i="7"/>
  <c r="J6" i="6"/>
  <c r="J3" i="6"/>
  <c r="J2" i="6"/>
  <c r="J8" i="6" s="1"/>
  <c r="J5" i="6"/>
  <c r="J4" i="6"/>
  <c r="J8" i="7" a="1"/>
  <c r="J7" i="7" a="1"/>
  <c r="J6" i="7" a="1"/>
  <c r="J4" i="7" a="1"/>
  <c r="J5" i="7" a="1"/>
  <c r="J3" i="7" a="1"/>
  <c r="J2" i="7" a="1"/>
  <c r="J7" i="7" l="1"/>
  <c r="K7" i="7" s="1"/>
  <c r="J8" i="7"/>
  <c r="K8" i="7" s="1"/>
  <c r="J5" i="7"/>
  <c r="K5" i="7" s="1"/>
  <c r="J4" i="7"/>
  <c r="K4" i="7" s="1"/>
  <c r="J6" i="7"/>
  <c r="K6" i="7" s="1"/>
  <c r="J2" i="7"/>
  <c r="K2" i="7" s="1"/>
  <c r="J3" i="7"/>
  <c r="K3" i="7" s="1"/>
  <c r="N8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<sst xmlns="http://schemas.openxmlformats.org/spreadsheetml/2006/main" count="1511" uniqueCount="335">
  <si>
    <t>Location</t>
  </si>
  <si>
    <t>ADA PUBLIC SCHOOL DISTRICT LIBRARY</t>
  </si>
  <si>
    <t>ADAMS COUNTY PUBLIC LIBRARY</t>
  </si>
  <si>
    <t>AKRON-SUMMIT CNTY PUBLIC LIBRARY</t>
  </si>
  <si>
    <t>ALEXANDRIA PUBLIC LIBRARY</t>
  </si>
  <si>
    <t>ALGER PUBLIC LIBRARY</t>
  </si>
  <si>
    <t>AMHERST PUBLIC LIBRARY</t>
  </si>
  <si>
    <t>ANDOVER PUBLIC LIBRARY</t>
  </si>
  <si>
    <t>ARCANUM PUBLIC LIBRARY</t>
  </si>
  <si>
    <t>ARCHBOLD COMMUNITY LIBRARY</t>
  </si>
  <si>
    <t>ASHLAND PUBLIC LIBRARY</t>
  </si>
  <si>
    <t>ASHTABULA COUNTY DISTRICT LIBRARY</t>
  </si>
  <si>
    <t>Athens County Public Libraries</t>
  </si>
  <si>
    <t>AUGLAIZE COUNTY DISTRICT PUBLIC LIBRARY</t>
  </si>
  <si>
    <t>AVON LAKE PUBLIC LIBRARY</t>
  </si>
  <si>
    <t>BARBERTON PUBLIC LIBRARY</t>
  </si>
  <si>
    <t>BARNESVILLE HUTTON MEMORIAL PUBLIC LIBRARY</t>
  </si>
  <si>
    <t>BELLAIRE PUBLIC LIBRARY</t>
  </si>
  <si>
    <t>BELLE CENTER FREE PUBLIC LIBRARY</t>
  </si>
  <si>
    <t>BELLEVUE PUBLIC LIBRARY</t>
  </si>
  <si>
    <t>BELMONT COUNTY DISTRICT LIBRARY</t>
  </si>
  <si>
    <t>BETTSVILLE PUBLIC LIBRARY</t>
  </si>
  <si>
    <t>BEXLEY PUBLIC LIBRARY</t>
  </si>
  <si>
    <t>BIRCHARD PUBLIC LIBRARY OF SANDUSKY COUNTY</t>
  </si>
  <si>
    <t>BLANCHESTER PUBLIC LIBRARY</t>
  </si>
  <si>
    <t>BLISS MEMORIAL PUBLIC LIBRARY</t>
  </si>
  <si>
    <t>BLUFFTON PUBLIC LIBRARY</t>
  </si>
  <si>
    <t>BOWERSTON PUBLIC LIBRARY</t>
  </si>
  <si>
    <t>BRADFORD PUBLIC LIBRARY</t>
  </si>
  <si>
    <t>BRIGGS LAWRENCE COUNTY PUBLIC LIBRARY</t>
  </si>
  <si>
    <t>BRISTOL PUBLIC LIBRARY</t>
  </si>
  <si>
    <t>BROWN COUNTY PUBLIC LIBRARY</t>
  </si>
  <si>
    <t>BROWN MEMORIAL LIBRARY</t>
  </si>
  <si>
    <t>BRUMBACK LIBRARY</t>
  </si>
  <si>
    <t>BUCYRUS PUBLIC LIBRARY</t>
  </si>
  <si>
    <t>BURTON PUBLIC LIBRARY</t>
  </si>
  <si>
    <t>CALDWELL PUBLIC LIBRARY</t>
  </si>
  <si>
    <t>CANAL FULTON PUBLIC LIBRARY</t>
  </si>
  <si>
    <t>CARDINGTON-LINCOLN PUBLIC LIBRARY</t>
  </si>
  <si>
    <t>CARNEGIE PUBLIC LIBRARY - East Liverpool</t>
  </si>
  <si>
    <t>CARNEGIE PUBLIC LIBRARY - Washington Court House</t>
  </si>
  <si>
    <t>CARROLL COUNTY DISTRICT LIBRARY</t>
  </si>
  <si>
    <t>CENTERBURG PUBLIC LIBRARY</t>
  </si>
  <si>
    <t>CHAMPAIGN COUNTY LIBRARY</t>
  </si>
  <si>
    <t>CHILLICOTHE AND ROSS COUNTY PUBLIC LIBRARY</t>
  </si>
  <si>
    <t>CINCINNATI AND HAMILTON COUNTY PUBLIC LIBRARY</t>
  </si>
  <si>
    <t>CLARK COUNTY PUBLIC LIBRARY</t>
  </si>
  <si>
    <t>CLAYMONT SCHOOL DISTRICT PUBLIC LIBRARY</t>
  </si>
  <si>
    <t>CLERMONT COUNTY PUBLIC LIBRARY</t>
  </si>
  <si>
    <t>CLEVELAND HEIGHTS-UNIVERSITY HEIGHTS PL</t>
  </si>
  <si>
    <t>Cleveland Public Library</t>
  </si>
  <si>
    <t>CLYDE PUBLIC LIBRARY</t>
  </si>
  <si>
    <t>COLDWATER PUBLIC LIBRARY</t>
  </si>
  <si>
    <t>COLUMBIANA PUBLIC LIBRARY</t>
  </si>
  <si>
    <t>Columbus Metropolitan Library</t>
  </si>
  <si>
    <t>CONNEAUT PUBLIC LIBRARY</t>
  </si>
  <si>
    <t>COSHOCTON PUBLIC LIBRARY</t>
  </si>
  <si>
    <t>CRESTLINE PUBLIC LIBRARY</t>
  </si>
  <si>
    <t>CUYAHOGA COUNTY PUBLIC LIBRARY</t>
  </si>
  <si>
    <t>Cuyahoga Falls Library</t>
  </si>
  <si>
    <t>Dayton Metro Library</t>
  </si>
  <si>
    <t>DEFIANCE PUBLIC LIBRARY</t>
  </si>
  <si>
    <t>DELAWARE COUNTY DISTRICT LIBRARY</t>
  </si>
  <si>
    <t>DELPHOS PUBLIC LIBRARY</t>
  </si>
  <si>
    <t>DELTA PUBLIC LIBRARY</t>
  </si>
  <si>
    <t>DORCAS CAREY PUBLIC LIBRARY</t>
  </si>
  <si>
    <t>DOVER PUBLIC LIBRARY</t>
  </si>
  <si>
    <t>DR. EARL S. SLOAN LIBRARY</t>
  </si>
  <si>
    <t>DR. SAMUEL L. BOSSARD MEMORIAL LIBRARY</t>
  </si>
  <si>
    <t>EAST CLEVELAND PUBLIC LIBRARY</t>
  </si>
  <si>
    <t>EAST PALESTINE MEMORIAL PUBLIC LIBRARY</t>
  </si>
  <si>
    <t>ELYRIA PUBLIC LIBRARY</t>
  </si>
  <si>
    <t>EUCLID PUBLIC LIBRARY</t>
  </si>
  <si>
    <t>EVERGREEN COMMUNITY LIBRARY</t>
  </si>
  <si>
    <t>FAIRFIELD COUNTY DISTRICT LIBRARY</t>
  </si>
  <si>
    <t>FAIRPORT HARBOR PUBLIC LIBRARY</t>
  </si>
  <si>
    <t>FINDLAY HANCOCK CNTY DIST PUBLIC LIBRARY</t>
  </si>
  <si>
    <t>FOREST-JACKSON PUBLIC LIBRARY</t>
  </si>
  <si>
    <t>FORT RECOVERY PUBLIC LIBRARY</t>
  </si>
  <si>
    <t>FRANKLIN-SPRINGBORO PUBLIC LIBRARY</t>
  </si>
  <si>
    <t>GALION PUBLIC LIBRARY ASSOCIATION</t>
  </si>
  <si>
    <t>GARNET A. WILSON PL OF PIKE CO</t>
  </si>
  <si>
    <t>GEAUGA COUNTY PUBLIC LIBRARY</t>
  </si>
  <si>
    <t>GERMANTOWN PUBLIC LIBRARY</t>
  </si>
  <si>
    <t>GIRARD FREE LIBRARY</t>
  </si>
  <si>
    <t>GNADENHUTTEN PUBLIC LIBRARY</t>
  </si>
  <si>
    <t>GRAFTON/MIDVIEW PUBLIC LIBRARY</t>
  </si>
  <si>
    <t>GRAND VALLEY PUBLIC LIBRARY</t>
  </si>
  <si>
    <t>GRANDVIEW HEIGHTS PUBLIC LIBRARY</t>
  </si>
  <si>
    <t>GRANVILLE PUBLIC LIBRARY</t>
  </si>
  <si>
    <t>GREENE COUNTY PUBLIC LIBRARY</t>
  </si>
  <si>
    <t>GREENVILLE PUBLIC LIBRARY</t>
  </si>
  <si>
    <t>GUERNSEY COUNTY DISTRICT PUBLIC LIBRARY</t>
  </si>
  <si>
    <t>HARBOR-TOPKY MEMORIAL LIBRARY</t>
  </si>
  <si>
    <t>HARDIN NORTHERN PUBLIC LIBRARY</t>
  </si>
  <si>
    <t>HARRIS-ELMORE PUBLIC LIBRARY</t>
  </si>
  <si>
    <t>HENDERSON MEMORIAL PUBLIC LIBRARY ASSOCIATION</t>
  </si>
  <si>
    <t>HERBERT WESCOAT MEMORIAL LIBRARY</t>
  </si>
  <si>
    <t>HERRICK MEMORIAL PUBLIC LIBRARY</t>
  </si>
  <si>
    <t>HIGHLAND COUNTY DISTRICT LIBRARY</t>
  </si>
  <si>
    <t>HOLGATE COMMUNITY LIBRARY</t>
  </si>
  <si>
    <t>HOLMES COUNTY DISTRICT PUBLIC LIBRARY</t>
  </si>
  <si>
    <t>HOMER PUBLIC LIBRARY</t>
  </si>
  <si>
    <t>HUBBARD PUBLIC LIBRARY</t>
  </si>
  <si>
    <t>HUDSON LIBRARY AND HISTORICAL SOCIETY</t>
  </si>
  <si>
    <t>HURON COUNTY COMMUNITY LIBRARY</t>
  </si>
  <si>
    <t>HURON PUBLIC LIBRARY</t>
  </si>
  <si>
    <t>HURT/BATTELLE MEMORIAL LIBRARY/WEST JEFFERSON</t>
  </si>
  <si>
    <t>IDA RUPP PUBLIC LIBRARY</t>
  </si>
  <si>
    <t>J.R. CLARKE PUBLIC LIBRARY</t>
  </si>
  <si>
    <t>JACKSON CITY LIBRARY</t>
  </si>
  <si>
    <t>KATE LOVE SIMPSON-MORGAN COUNTY LIBRARY</t>
  </si>
  <si>
    <t>KAUBISCH MEMORIAL PUBLIC LIBRARY</t>
  </si>
  <si>
    <t>KENT FREE LIBRARY</t>
  </si>
  <si>
    <t>KINGSVILLE PUBLIC LIBRARY</t>
  </si>
  <si>
    <t>KINSMAN FREE PUBLIC LIBRARY</t>
  </si>
  <si>
    <t>KIRTLAND PUBLIC LIBRARY</t>
  </si>
  <si>
    <t>LAKEWOOD PUBLIC LIBRARY</t>
  </si>
  <si>
    <t>LANE PUBLIC LIBRARY</t>
  </si>
  <si>
    <t>LEBANON PUBLIC LIBRARY</t>
  </si>
  <si>
    <t>LEETONIA COMMUNITY PUBLIC LIBRARY</t>
  </si>
  <si>
    <t>LEPPER LIBRARY</t>
  </si>
  <si>
    <t>LIBERTY CENTER PUBLIC LIBRARY</t>
  </si>
  <si>
    <t>LICKING COUNTY LIBRARY</t>
  </si>
  <si>
    <t>LIMA PUBLIC LIBRARY</t>
  </si>
  <si>
    <t>LOGAN COUNTY DISTRICT LIBRARY</t>
  </si>
  <si>
    <t>LOGAN-HOCKING COUNTY DISTRICT LIBRARY</t>
  </si>
  <si>
    <t>LONDON PUBLIC LIBRARY</t>
  </si>
  <si>
    <t>LORAIN PUBLIC LIBRARY</t>
  </si>
  <si>
    <t>LOUDONVILLE PUBLIC LIBRARY</t>
  </si>
  <si>
    <t>LOUISVILLE PUBLIC LIBRARY</t>
  </si>
  <si>
    <t>MADISON PUBLIC LIBRARY</t>
  </si>
  <si>
    <t>MANSFIELD-RICHLAND COUNTY PUBLIC LIBRARY</t>
  </si>
  <si>
    <t>MARION LAWRENCE MEMORIAL LIBRARY</t>
  </si>
  <si>
    <t>MARION PUBLIC LIBRARY</t>
  </si>
  <si>
    <t>MARVIN MEMORIAL LIBRARY</t>
  </si>
  <si>
    <t>MARY L. COOK PUBLIC LIBRARY</t>
  </si>
  <si>
    <t>MARY LOU JOHNSON-HARDIN CNTY PL</t>
  </si>
  <si>
    <t>MARYSVILLE  PUBLIC LIBRARY</t>
  </si>
  <si>
    <t>MASON PUBLIC LIBRARY</t>
  </si>
  <si>
    <t>MASSILLON PUBLIC LIBRARY</t>
  </si>
  <si>
    <t>MCCOMB PUBLIC LIBRARY</t>
  </si>
  <si>
    <t>MCKINLEY MEMORIAL LIBRARY</t>
  </si>
  <si>
    <t>MECHANICSBURG PUBLIC LIBRARY</t>
  </si>
  <si>
    <t>MEDINA COUNTY DISTRICT LIBRARY</t>
  </si>
  <si>
    <t>MEIGS COUNTY DISTRICT PUBLIC LIBRARY</t>
  </si>
  <si>
    <t>MENTOR PUBLIC LIBRARY</t>
  </si>
  <si>
    <t>MERCER COUNTY DISTRICT PUBLIC LIBRARY</t>
  </si>
  <si>
    <t>MIDPOINTE LIBRARY SYSTEM</t>
  </si>
  <si>
    <t>MILAN-BERLIN LIBRARY DISTRICT</t>
  </si>
  <si>
    <t>MILTON UNION PUBLIC LIBRARY</t>
  </si>
  <si>
    <t>MINERVA PUBLIC LIBRARY</t>
  </si>
  <si>
    <t>MOHAWK COMMUNITY LIBRARY</t>
  </si>
  <si>
    <t>MONROE COUNTY DISTRICT LIBRARY</t>
  </si>
  <si>
    <t>MONROEVILLE PUBLIC LIBRARY</t>
  </si>
  <si>
    <t>MONTPELIER PUBLIC LIBRARY</t>
  </si>
  <si>
    <t>MORLEY LIBRARY</t>
  </si>
  <si>
    <t>MT GILEAD  PUBLIC LIBRARY</t>
  </si>
  <si>
    <t>MT STERLING PUBLIC LIBRARY</t>
  </si>
  <si>
    <t>MT VERNON &amp; KNOX COUNTY, PUBLIC LIBRARY OF</t>
  </si>
  <si>
    <t>MUSKINGUM COUNTY LIBRARY SYSTEM</t>
  </si>
  <si>
    <t>NAPOLEON PUBLIC LIBRARY</t>
  </si>
  <si>
    <t>NEW CARLISLE PUBLIC LIBRARY</t>
  </si>
  <si>
    <t>NEW LONDON PUBLIC LIBRARY</t>
  </si>
  <si>
    <t>NEW MADISON PUBLIC LIBRARY</t>
  </si>
  <si>
    <t>NEW STRAITSVILLE PUBLIC LIBRARY</t>
  </si>
  <si>
    <t>NEWCOMERSTOWN PUBLIC LIBRARY</t>
  </si>
  <si>
    <t>NEWTON FALLS PUBLIC LIBRARY</t>
  </si>
  <si>
    <t>NORMAL MEMORIAL LIBRARY</t>
  </si>
  <si>
    <t>NORTH BALTIMORE PUBLIC LIBRARY</t>
  </si>
  <si>
    <t>NORTH CANTON PUBLIC LIBRARY</t>
  </si>
  <si>
    <t>NORWALK PUBLIC LIBRARY</t>
  </si>
  <si>
    <t>OAK HARBOR PUBLIC LIBRARY</t>
  </si>
  <si>
    <t>OAK HILL PUBLIC LIBRARY</t>
  </si>
  <si>
    <t>OBERLIN PUBLIC LIBRARY</t>
  </si>
  <si>
    <t>ORRVILLE PUBLIC LIBRARY</t>
  </si>
  <si>
    <t>PATASKALA PUBLIC LIBRARY</t>
  </si>
  <si>
    <t>PATRICK HENRY SCHOOL DISTRICT PUBLIC LIBRARY</t>
  </si>
  <si>
    <t>PAULDING COUNTY CARNEGIE LIBRARY</t>
  </si>
  <si>
    <t>PEMBERVILLE PUBLIC LIBRARY</t>
  </si>
  <si>
    <t>PENINSULA LIBRARY &amp; HISTORICAL SOCIETY</t>
  </si>
  <si>
    <t>PERRY COOK MEMORIAL PUBLIC LIBRARY</t>
  </si>
  <si>
    <t>PERRY COUNTY DISTRICT LIBRARY</t>
  </si>
  <si>
    <t>PERRY PUBLIC LIBRARY</t>
  </si>
  <si>
    <t>PICKAWAY COUNTY DISTRICT PUBLIC LIBRARY</t>
  </si>
  <si>
    <t>PICKERINGTON PUBLIC LIBRARY</t>
  </si>
  <si>
    <t>Piqua Public Library</t>
  </si>
  <si>
    <t>PLAIN CITY PUBLIC LIBRARY</t>
  </si>
  <si>
    <t>PORTAGE COUNTY DISTRICT LIBRARY</t>
  </si>
  <si>
    <t>PORTSMOUTH PUBLIC LIBRARY</t>
  </si>
  <si>
    <t>PREBLE COUNTY DISTRICT LIBRARY</t>
  </si>
  <si>
    <t>PUSKARICH PUBLIC LIBRARY</t>
  </si>
  <si>
    <t>PUTNAM COUNTY DISTRICT LIBRARY</t>
  </si>
  <si>
    <t>REED MEMORIAL LIBRARY</t>
  </si>
  <si>
    <t>RICHWOOD-NORTH UNION PUBLIC LIBRARY</t>
  </si>
  <si>
    <t>RIDGEMONT PUBLIC LIBRARY</t>
  </si>
  <si>
    <t>RITTER PUBLIC LIBRARY</t>
  </si>
  <si>
    <t>ROCK CREEK PUBLIC LIBRARY</t>
  </si>
  <si>
    <t>ROCKFORD CARNEGIE LIBRARY</t>
  </si>
  <si>
    <t>ROCKY RIVER PUBLIC LIBRARY</t>
  </si>
  <si>
    <t>RODMAN PUBLIC LIBRARY</t>
  </si>
  <si>
    <t>ROSSFORD PUBLIC LIBRARY</t>
  </si>
  <si>
    <t>SABINA PUBLIC LIBRARY</t>
  </si>
  <si>
    <t>SALEM PUBLIC LIBRARY</t>
  </si>
  <si>
    <t>SALEM TOWNSHIP PUBLIC LIBRARY</t>
  </si>
  <si>
    <t>SANDUSKY LIBRARY</t>
  </si>
  <si>
    <t>SELOVER PUBLIC LIBRARY</t>
  </si>
  <si>
    <t>SENECA EAST PUBLIC LIBRARY</t>
  </si>
  <si>
    <t>SHAKER HEIGHTS PUBLIC LIBRARY</t>
  </si>
  <si>
    <t>SHELBY COUNTY LIBRARIES - AMOS MEMORIAL</t>
  </si>
  <si>
    <t>SOUTHWEST PUBLIC LIBRARIES</t>
  </si>
  <si>
    <t>ST. CLAIRSVILLE PUBLIC LIBRARY</t>
  </si>
  <si>
    <t>ST. MARYS COMMUNITY PUBLIC LIBRARY</t>
  </si>
  <si>
    <t>ST. PARIS PUBLIC LIBRARY</t>
  </si>
  <si>
    <t>STARK COUNTY DISTRICT LIBRARY</t>
  </si>
  <si>
    <t>STEUBENVILLE &amp; JEFFERSON COUNTY, PL OF</t>
  </si>
  <si>
    <t>STOW-MUNROE FALLS PUBLIC LIBRARY</t>
  </si>
  <si>
    <t>SUNBURY COMMUNITY LIBRARY</t>
  </si>
  <si>
    <t>SWANTON PUBLIC LIBRARY</t>
  </si>
  <si>
    <t>SYLVESTER MEMORIAL WELLSTON PUBLIC LIBRARY</t>
  </si>
  <si>
    <t>TIFFIN-SENECA PUBLIC LIBRARY</t>
  </si>
  <si>
    <t>TIPP CITY PUBLIC LIBRARY</t>
  </si>
  <si>
    <t>Toledo-Lucas County Public Library</t>
  </si>
  <si>
    <t>TROY-MIAMI COUNTY PUBLIC LIBRARY</t>
  </si>
  <si>
    <t>TUSCARAWAS COUNTY PUBLIC LIBRARY</t>
  </si>
  <si>
    <t>TWINSBURG PUBLIC LIBRARY</t>
  </si>
  <si>
    <t>UNION TOWNSHIP PUBLIC LIBRARY</t>
  </si>
  <si>
    <t>UPPER ARLINGTON PUBLIC LIBRARY</t>
  </si>
  <si>
    <t>UPPER SANDUSKY COMMUNITY LIBRARY</t>
  </si>
  <si>
    <t>WADSWORTH PUBLIC LIBRARY</t>
  </si>
  <si>
    <t>WAGNALLS MEMORIAL LIBRARY</t>
  </si>
  <si>
    <t>WARREN-TRUMBULL COUNTY PUBLIC LIBRARY</t>
  </si>
  <si>
    <t>WASHINGTON COUNTY PUBLIC LIBRARY</t>
  </si>
  <si>
    <t>WASHINGTON-CENTERVILLE PUBLIC LIBRARY</t>
  </si>
  <si>
    <t>WAUSEON PUBLIC LIBRARY</t>
  </si>
  <si>
    <t>WAY PUBLIC LIBRARY</t>
  </si>
  <si>
    <t>WAYNE COUNTY PUBLIC LIBRARY</t>
  </si>
  <si>
    <t>WAYNE PUBLIC LIBRARY</t>
  </si>
  <si>
    <t>WELLSVILLE CARNEGIE PUBLIC LIBRARY</t>
  </si>
  <si>
    <t>WESTERVILLE PUBLIC LIBRARY</t>
  </si>
  <si>
    <t>WESTLAKE PORTER PUBLIC LIBRARY</t>
  </si>
  <si>
    <t>WESTON PUBLIC LIBRARY</t>
  </si>
  <si>
    <t>WICKLIFFE PUBLIC LIBRARY</t>
  </si>
  <si>
    <t>WILLIAMS CO PUBLIC LIBRARY</t>
  </si>
  <si>
    <t>WILLOUGHBY-EASTLAKE PUBLIC LIBRARY</t>
  </si>
  <si>
    <t>WILMINGTON PUBLIC LIBRARY OF CLINTON COUNTY</t>
  </si>
  <si>
    <t>WOOD COUNTY DISTRICT PUBLIC LIBRARY</t>
  </si>
  <si>
    <t>WORCH MEMORIAL PUBLIC LIBRARY</t>
  </si>
  <si>
    <t>WORNSTAFF MEMORIAL PUBLIC LIBRARY</t>
  </si>
  <si>
    <t>WORTHINGTON PUBLIC LIBRARY</t>
  </si>
  <si>
    <t>WRIGHT MEMORIAL PUBLIC LIBRARY</t>
  </si>
  <si>
    <t>YOUNGSTOWN AND MAHONING COUNTY, PL OF</t>
  </si>
  <si>
    <t>1.24 Population of Legal Svc Area</t>
  </si>
  <si>
    <t>1.25 Registered Borrowers Adult</t>
  </si>
  <si>
    <t>1.26 Registered Borrowers Children</t>
  </si>
  <si>
    <t>1.27 Registered Borrowers Total</t>
  </si>
  <si>
    <t>2.26 # of Branches</t>
  </si>
  <si>
    <t>2.30 Total Number of Internet Computers Used by General Public</t>
  </si>
  <si>
    <t/>
  </si>
  <si>
    <t>8.3 Attendance in Library per Typical Week</t>
  </si>
  <si>
    <t>8.4 Annual Attendance in Library (8.3 * 52)</t>
  </si>
  <si>
    <t>N/A</t>
  </si>
  <si>
    <t>ID</t>
  </si>
  <si>
    <t>Start time</t>
  </si>
  <si>
    <t>Completion time</t>
  </si>
  <si>
    <t>Name2</t>
  </si>
  <si>
    <t>Email2</t>
  </si>
  <si>
    <t>Address</t>
  </si>
  <si>
    <t>Type of Membership</t>
  </si>
  <si>
    <t>If you selected 'Discounted' membership, please indicate what discount you're seeking (e.g. student, veteran, low income, etc.)</t>
  </si>
  <si>
    <t>How did you hear about us?</t>
  </si>
  <si>
    <t>Please enter anything else you'd like to share:</t>
  </si>
  <si>
    <t>Marie Curie</t>
  </si>
  <si>
    <t>mcurie@aol.com</t>
  </si>
  <si>
    <t>314 west uranium drive</t>
  </si>
  <si>
    <t>Full ($100/month)</t>
  </si>
  <si>
    <t>Current member</t>
  </si>
  <si>
    <t>Super excited to use your spectroscopy machines!</t>
  </si>
  <si>
    <t>Isaac Newton</t>
  </si>
  <si>
    <t>ILoveApples@hotmail.com</t>
  </si>
  <si>
    <t>1600 Olde English Dr.</t>
  </si>
  <si>
    <t>Entry ($30/month)</t>
  </si>
  <si>
    <t>Friend or other word of mouth</t>
  </si>
  <si>
    <t>I prefer to keep to myself, please do not disturb</t>
  </si>
  <si>
    <t>Ida Wells</t>
  </si>
  <si>
    <t>ida4eva@naacp.org</t>
  </si>
  <si>
    <t>1600 Pennsylvania ave</t>
  </si>
  <si>
    <t>Pro ($60/month)</t>
  </si>
  <si>
    <t>Online search for makerspace</t>
  </si>
  <si>
    <t>Will need full access to archives and lasercutter</t>
  </si>
  <si>
    <t>Membership Count</t>
  </si>
  <si>
    <t>Full</t>
  </si>
  <si>
    <t>Entry</t>
  </si>
  <si>
    <t>Pro</t>
  </si>
  <si>
    <t>Advanced</t>
  </si>
  <si>
    <t>Discounted</t>
  </si>
  <si>
    <t>Michael Faraday</t>
  </si>
  <si>
    <t>InvisibleFieldsAreMyJam@outlook.com</t>
  </si>
  <si>
    <t>96485 electric avenue</t>
  </si>
  <si>
    <t>Discounted ($15/month)</t>
  </si>
  <si>
    <t>despite all my advances, still in that low income bracket</t>
  </si>
  <si>
    <t>Would love to collaborate with anyone who is a mathematics expert!</t>
  </si>
  <si>
    <t>James Maxwell</t>
  </si>
  <si>
    <t>letsgetphysical@comcast.net</t>
  </si>
  <si>
    <t>3E8 kings road</t>
  </si>
  <si>
    <t>Online search for classes</t>
  </si>
  <si>
    <t>Excited to learn from other members about their inquiries and discoveries!</t>
  </si>
  <si>
    <t>Count of Members</t>
  </si>
  <si>
    <t>Facebook Group</t>
  </si>
  <si>
    <t>Online Advertisement</t>
  </si>
  <si>
    <t>Other</t>
  </si>
  <si>
    <t>Count</t>
  </si>
  <si>
    <t>Marketing Approach</t>
  </si>
  <si>
    <t>Count of Other</t>
  </si>
  <si>
    <t>Weekly Attendance (Text Removed)</t>
  </si>
  <si>
    <t>Weekly Attendence Bins</t>
  </si>
  <si>
    <t>1 - 10</t>
  </si>
  <si>
    <t>11 - 50</t>
  </si>
  <si>
    <t>51 - 200</t>
  </si>
  <si>
    <t>201 - 500</t>
  </si>
  <si>
    <t>501 - 1000</t>
  </si>
  <si>
    <t>1001 - 5000</t>
  </si>
  <si>
    <t>5000 - 10000</t>
  </si>
  <si>
    <t>10001 - 20000</t>
  </si>
  <si>
    <t>20001 - 50000</t>
  </si>
  <si>
    <t>50,001 +</t>
  </si>
  <si>
    <t>Chien-Shiung Wu</t>
  </si>
  <si>
    <t>NuclearPhysicsQueen@outlook.com</t>
  </si>
  <si>
    <t>undisclosed location</t>
  </si>
  <si>
    <t>Current member;Friend or other word of mouth;walked by;</t>
  </si>
  <si>
    <t>Emmy Noether</t>
  </si>
  <si>
    <t>MathBoss@academia.edu</t>
  </si>
  <si>
    <t>6847 bryn mawr street</t>
  </si>
  <si>
    <t>flyer at my university;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</si>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</sst>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m/d/yy\ h:mm:ss"/>
    <numFmt numFmtId="166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3" fontId="2" fillId="0" borderId="0" applyFont="0" applyFill="0" applyBorder="0" applyAlignment="0" applyProtection="0"/>
    <xf numFmtId="0" fontId="2" fillId="0" borderId="0" applyNumberFormat="0" applyFont="0" applyFill="0" applyBorder="0" applyProtection="0">
      <alignment horizontal="left" vertical="center"/>
    </xf>
    <xf numFmtId="43" fontId="3" fillId="0" borderId="0" applyFont="0" applyFill="0" applyBorder="0" applyAlignment="0" applyProtection="0"/>
  </cellStyleXfs>
  <cellXfs count="16">
    <xf numFmtId="0" fontId="0" fillId="0" borderId="0" xfId="0"/>
    <xf numFmtId="0" fontId="1" fillId="2" borderId="1" xfId="0" applyFont="1" applyFill="1" applyBorder="1" applyAlignment="1">
      <alignment horizontal="left"/>
    </xf>
    <xf numFmtId="3" fontId="2" fillId="0" borderId="0" xfId="1"/>
    <xf numFmtId="0" fontId="2" fillId="0" borderId="0" xfId="2">
      <alignment horizontal="left" vertical="center"/>
    </xf>
    <xf numFmtId="0" fontId="1" fillId="2" borderId="2" xfId="0" applyFont="1" applyFill="1" applyBorder="1" applyAlignment="1">
      <alignment horizontal="left"/>
    </xf>
    <xf numFmtId="0" fontId="4" fillId="0" borderId="0" xfId="0" applyFont="1"/>
    <xf numFmtId="0" fontId="0" fillId="0" borderId="0" xfId="0"/>
    <xf numFmtId="0" fontId="0" fillId="0" borderId="0" xfId="0" quotePrefix="1"/>
    <xf numFmtId="166" fontId="0" fillId="0" borderId="0" xfId="3" applyNumberFormat="1" applyFont="1"/>
    <xf numFmtId="0" fontId="0" fillId="0" borderId="0" xfId="0" applyAlignment="1">
      <alignment horizontal="left"/>
    </xf>
    <xf numFmtId="0" fontId="4" fillId="0" borderId="5" xfId="0" applyFont="1" applyBorder="1"/>
    <xf numFmtId="0" fontId="0" fillId="0" borderId="0" xfId="0"/>
    <xf numFmtId="164" fontId="0" fillId="0" borderId="0" xfId="0" applyNumberFormat="1"/>
    <xf numFmtId="0" fontId="4" fillId="0" borderId="4" xfId="0" applyFont="1" applyBorder="1"/>
    <xf numFmtId="0" fontId="5" fillId="3" borderId="5" xfId="0" applyFont="1" applyFill="1" applyBorder="1"/>
    <xf numFmtId="0" fontId="5" fillId="3" borderId="3" xfId="0" applyFont="1" applyFill="1" applyBorder="1"/>
  </cellXfs>
  <cellStyles count="4">
    <cellStyle name="Comma" xfId="3" builtinId="3"/>
    <cellStyle name="Normal" xfId="0" builtinId="0"/>
    <cellStyle name="sInteger" xfId="1" xr:uid="{622B194D-709D-43F0-844B-1A15C35B7237}"/>
    <cellStyle name="sText" xfId="2" xr:uid="{89548F29-9687-4EDB-BFE8-8442245480F9}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medium">
          <color auto="1"/>
        </top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rgb="FFEEEEEE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border outline="0">
        <top style="medium">
          <color auto="1"/>
        </top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rgb="FFEEEEEE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border outline="0">
        <top style="medium">
          <color auto="1"/>
        </top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rgb="FFEEEEEE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border outline="0">
        <top style="medium">
          <color auto="1"/>
        </top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rgb="FFEEEEEE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Registered</a:t>
            </a:r>
            <a:r>
              <a:rPr lang="en-US" baseline="0"/>
              <a:t> Borrowers, All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Borrowers!$B$1</c:f>
              <c:strCache>
                <c:ptCount val="1"/>
                <c:pt idx="0">
                  <c:v>1.25 Registered Borrowers Adult</c:v>
                </c:pt>
              </c:strCache>
            </c:strRef>
          </c:tx>
          <c:spPr>
            <a:solidFill>
              <a:schemeClr val="accent1"/>
            </a:solidFill>
            <a:ln w="15875">
              <a:solidFill>
                <a:schemeClr val="accent1"/>
              </a:solidFill>
            </a:ln>
            <a:effectLst/>
          </c:spPr>
          <c:invertIfNegative val="0"/>
          <c:cat>
            <c:strRef>
              <c:f>Borrowers!$A$2:$A$252</c:f>
              <c:strCache>
                <c:ptCount val="251"/>
                <c:pt idx="0">
                  <c:v>ADA PUBLIC SCHOOL DISTRICT LIBRARY</c:v>
                </c:pt>
                <c:pt idx="1">
                  <c:v>ADAMS COUNTY PUBLIC LIBRARY</c:v>
                </c:pt>
                <c:pt idx="2">
                  <c:v>AKRON-SUMMIT CNTY PUBLIC LIBRARY</c:v>
                </c:pt>
                <c:pt idx="3">
                  <c:v>ALEXANDRIA PUBLIC LIBRARY</c:v>
                </c:pt>
                <c:pt idx="4">
                  <c:v>ALGER PUBLIC LIBRARY</c:v>
                </c:pt>
                <c:pt idx="5">
                  <c:v>AMHERST PUBLIC LIBRARY</c:v>
                </c:pt>
                <c:pt idx="6">
                  <c:v>ANDOVER PUBLIC LIBRARY</c:v>
                </c:pt>
                <c:pt idx="7">
                  <c:v>ARCANUM PUBLIC LIBRARY</c:v>
                </c:pt>
                <c:pt idx="8">
                  <c:v>ARCHBOLD COMMUNITY LIBRARY</c:v>
                </c:pt>
                <c:pt idx="9">
                  <c:v>ASHLAND PUBLIC LIBRARY</c:v>
                </c:pt>
                <c:pt idx="10">
                  <c:v>ASHTABULA COUNTY DISTRICT LIBRARY</c:v>
                </c:pt>
                <c:pt idx="11">
                  <c:v>Athens County Public Libraries</c:v>
                </c:pt>
                <c:pt idx="12">
                  <c:v>AUGLAIZE COUNTY DISTRICT PUBLIC LIBRARY</c:v>
                </c:pt>
                <c:pt idx="13">
                  <c:v>AVON LAKE PUBLIC LIBRARY</c:v>
                </c:pt>
                <c:pt idx="14">
                  <c:v>BARBERTON PUBLIC LIBRARY</c:v>
                </c:pt>
                <c:pt idx="15">
                  <c:v>BARNESVILLE HUTTON MEMORIAL PUBLIC LIBRARY</c:v>
                </c:pt>
                <c:pt idx="16">
                  <c:v>BELLAIRE PUBLIC LIBRARY</c:v>
                </c:pt>
                <c:pt idx="17">
                  <c:v>BELLE CENTER FREE PUBLIC LIBRARY</c:v>
                </c:pt>
                <c:pt idx="18">
                  <c:v>BELLEVUE PUBLIC LIBRARY</c:v>
                </c:pt>
                <c:pt idx="19">
                  <c:v>BELMONT COUNTY DISTRICT LIBRARY</c:v>
                </c:pt>
                <c:pt idx="20">
                  <c:v>BETTSVILLE PUBLIC LIBRARY</c:v>
                </c:pt>
                <c:pt idx="21">
                  <c:v>BEXLEY PUBLIC LIBRARY</c:v>
                </c:pt>
                <c:pt idx="22">
                  <c:v>BIRCHARD PUBLIC LIBRARY OF SANDUSKY COUNTY</c:v>
                </c:pt>
                <c:pt idx="23">
                  <c:v>BLANCHESTER PUBLIC LIBRARY</c:v>
                </c:pt>
                <c:pt idx="24">
                  <c:v>BLISS MEMORIAL PUBLIC LIBRARY</c:v>
                </c:pt>
                <c:pt idx="25">
                  <c:v>BLUFFTON PUBLIC LIBRARY</c:v>
                </c:pt>
                <c:pt idx="26">
                  <c:v>BOWERSTON PUBLIC LIBRARY</c:v>
                </c:pt>
                <c:pt idx="27">
                  <c:v>BRADFORD PUBLIC LIBRARY</c:v>
                </c:pt>
                <c:pt idx="28">
                  <c:v>BRIGGS LAWRENCE COUNTY PUBLIC LIBRARY</c:v>
                </c:pt>
                <c:pt idx="29">
                  <c:v>BRISTOL PUBLIC LIBRARY</c:v>
                </c:pt>
                <c:pt idx="30">
                  <c:v>BROWN COUNTY PUBLIC LIBRARY</c:v>
                </c:pt>
                <c:pt idx="31">
                  <c:v>BROWN MEMORIAL LIBRARY</c:v>
                </c:pt>
                <c:pt idx="32">
                  <c:v>BRUMBACK LIBRARY</c:v>
                </c:pt>
                <c:pt idx="33">
                  <c:v>BUCYRUS PUBLIC LIBRARY</c:v>
                </c:pt>
                <c:pt idx="34">
                  <c:v>BURTON PUBLIC LIBRARY</c:v>
                </c:pt>
                <c:pt idx="35">
                  <c:v>CALDWELL PUBLIC LIBRARY</c:v>
                </c:pt>
                <c:pt idx="36">
                  <c:v>CANAL FULTON PUBLIC LIBRARY</c:v>
                </c:pt>
                <c:pt idx="37">
                  <c:v>CARDINGTON-LINCOLN PUBLIC LIBRARY</c:v>
                </c:pt>
                <c:pt idx="38">
                  <c:v>CARNEGIE PUBLIC LIBRARY - East Liverpool</c:v>
                </c:pt>
                <c:pt idx="39">
                  <c:v>CARNEGIE PUBLIC LIBRARY - Washington Court House</c:v>
                </c:pt>
                <c:pt idx="40">
                  <c:v>CARROLL COUNTY DISTRICT LIBRARY</c:v>
                </c:pt>
                <c:pt idx="41">
                  <c:v>CENTERBURG PUBLIC LIBRARY</c:v>
                </c:pt>
                <c:pt idx="42">
                  <c:v>CHAMPAIGN COUNTY LIBRARY</c:v>
                </c:pt>
                <c:pt idx="43">
                  <c:v>CHILLICOTHE AND ROSS COUNTY PUBLIC LIBRARY</c:v>
                </c:pt>
                <c:pt idx="44">
                  <c:v>CINCINNATI AND HAMILTON COUNTY PUBLIC LIBRARY</c:v>
                </c:pt>
                <c:pt idx="45">
                  <c:v>CLARK COUNTY PUBLIC LIBRARY</c:v>
                </c:pt>
                <c:pt idx="46">
                  <c:v>CLAYMONT SCHOOL DISTRICT PUBLIC LIBRARY</c:v>
                </c:pt>
                <c:pt idx="47">
                  <c:v>CLERMONT COUNTY PUBLIC LIBRARY</c:v>
                </c:pt>
                <c:pt idx="48">
                  <c:v>CLEVELAND HEIGHTS-UNIVERSITY HEIGHTS PL</c:v>
                </c:pt>
                <c:pt idx="49">
                  <c:v>Cleveland Public Library</c:v>
                </c:pt>
                <c:pt idx="50">
                  <c:v>CLYDE PUBLIC LIBRARY</c:v>
                </c:pt>
                <c:pt idx="51">
                  <c:v>COLDWATER PUBLIC LIBRARY</c:v>
                </c:pt>
                <c:pt idx="52">
                  <c:v>COLUMBIANA PUBLIC LIBRARY</c:v>
                </c:pt>
                <c:pt idx="53">
                  <c:v>Columbus Metropolitan Library</c:v>
                </c:pt>
                <c:pt idx="54">
                  <c:v>CONNEAUT PUBLIC LIBRARY</c:v>
                </c:pt>
                <c:pt idx="55">
                  <c:v>COSHOCTON PUBLIC LIBRARY</c:v>
                </c:pt>
                <c:pt idx="56">
                  <c:v>CRESTLINE PUBLIC LIBRARY</c:v>
                </c:pt>
                <c:pt idx="57">
                  <c:v>CUYAHOGA COUNTY PUBLIC LIBRARY</c:v>
                </c:pt>
                <c:pt idx="58">
                  <c:v>Cuyahoga Falls Library</c:v>
                </c:pt>
                <c:pt idx="59">
                  <c:v>Dayton Metro Library</c:v>
                </c:pt>
                <c:pt idx="60">
                  <c:v>DEFIANCE PUBLIC LIBRARY</c:v>
                </c:pt>
                <c:pt idx="61">
                  <c:v>DELAWARE COUNTY DISTRICT LIBRARY</c:v>
                </c:pt>
                <c:pt idx="62">
                  <c:v>DELPHOS PUBLIC LIBRARY</c:v>
                </c:pt>
                <c:pt idx="63">
                  <c:v>DELTA PUBLIC LIBRARY</c:v>
                </c:pt>
                <c:pt idx="64">
                  <c:v>DORCAS CAREY PUBLIC LIBRARY</c:v>
                </c:pt>
                <c:pt idx="65">
                  <c:v>DOVER PUBLIC LIBRARY</c:v>
                </c:pt>
                <c:pt idx="66">
                  <c:v>DR. EARL S. SLOAN LIBRARY</c:v>
                </c:pt>
                <c:pt idx="67">
                  <c:v>DR. SAMUEL L. BOSSARD MEMORIAL LIBRARY</c:v>
                </c:pt>
                <c:pt idx="68">
                  <c:v>EAST CLEVELAND PUBLIC LIBRARY</c:v>
                </c:pt>
                <c:pt idx="69">
                  <c:v>EAST PALESTINE MEMORIAL PUBLIC LIBRARY</c:v>
                </c:pt>
                <c:pt idx="70">
                  <c:v>ELYRIA PUBLIC LIBRARY</c:v>
                </c:pt>
                <c:pt idx="71">
                  <c:v>EUCLID PUBLIC LIBRARY</c:v>
                </c:pt>
                <c:pt idx="72">
                  <c:v>EVERGREEN COMMUNITY LIBRARY</c:v>
                </c:pt>
                <c:pt idx="73">
                  <c:v>FAIRFIELD COUNTY DISTRICT LIBRARY</c:v>
                </c:pt>
                <c:pt idx="74">
                  <c:v>FAIRPORT HARBOR PUBLIC LIBRARY</c:v>
                </c:pt>
                <c:pt idx="75">
                  <c:v>FINDLAY HANCOCK CNTY DIST PUBLIC LIBRARY</c:v>
                </c:pt>
                <c:pt idx="76">
                  <c:v>FOREST-JACKSON PUBLIC LIBRARY</c:v>
                </c:pt>
                <c:pt idx="77">
                  <c:v>FORT RECOVERY PUBLIC LIBRARY</c:v>
                </c:pt>
                <c:pt idx="78">
                  <c:v>FRANKLIN-SPRINGBORO PUBLIC LIBRARY</c:v>
                </c:pt>
                <c:pt idx="79">
                  <c:v>GALION PUBLIC LIBRARY ASSOCIATION</c:v>
                </c:pt>
                <c:pt idx="80">
                  <c:v>GARNET A. WILSON PL OF PIKE CO</c:v>
                </c:pt>
                <c:pt idx="81">
                  <c:v>GEAUGA COUNTY PUBLIC LIBRARY</c:v>
                </c:pt>
                <c:pt idx="82">
                  <c:v>GERMANTOWN PUBLIC LIBRARY</c:v>
                </c:pt>
                <c:pt idx="83">
                  <c:v>GIRARD FREE LIBRARY</c:v>
                </c:pt>
                <c:pt idx="84">
                  <c:v>GNADENHUTTEN PUBLIC LIBRARY</c:v>
                </c:pt>
                <c:pt idx="85">
                  <c:v>GRAFTON/MIDVIEW PUBLIC LIBRARY</c:v>
                </c:pt>
                <c:pt idx="86">
                  <c:v>GRAND VALLEY PUBLIC LIBRARY</c:v>
                </c:pt>
                <c:pt idx="87">
                  <c:v>GRANDVIEW HEIGHTS PUBLIC LIBRARY</c:v>
                </c:pt>
                <c:pt idx="88">
                  <c:v>GRANVILLE PUBLIC LIBRARY</c:v>
                </c:pt>
                <c:pt idx="89">
                  <c:v>GREENE COUNTY PUBLIC LIBRARY</c:v>
                </c:pt>
                <c:pt idx="90">
                  <c:v>GREENVILLE PUBLIC LIBRARY</c:v>
                </c:pt>
                <c:pt idx="91">
                  <c:v>GUERNSEY COUNTY DISTRICT PUBLIC LIBRARY</c:v>
                </c:pt>
                <c:pt idx="92">
                  <c:v>HARBOR-TOPKY MEMORIAL LIBRARY</c:v>
                </c:pt>
                <c:pt idx="93">
                  <c:v>HARDIN NORTHERN PUBLIC LIBRARY</c:v>
                </c:pt>
                <c:pt idx="94">
                  <c:v>HARRIS-ELMORE PUBLIC LIBRARY</c:v>
                </c:pt>
                <c:pt idx="95">
                  <c:v>HENDERSON MEMORIAL PUBLIC LIBRARY ASSOCIATION</c:v>
                </c:pt>
                <c:pt idx="96">
                  <c:v>HERBERT WESCOAT MEMORIAL LIBRARY</c:v>
                </c:pt>
                <c:pt idx="97">
                  <c:v>HERRICK MEMORIAL PUBLIC LIBRARY</c:v>
                </c:pt>
                <c:pt idx="98">
                  <c:v>HIGHLAND COUNTY DISTRICT LIBRARY</c:v>
                </c:pt>
                <c:pt idx="99">
                  <c:v>HOLGATE COMMUNITY LIBRARY</c:v>
                </c:pt>
                <c:pt idx="100">
                  <c:v>HOLMES COUNTY DISTRICT PUBLIC LIBRARY</c:v>
                </c:pt>
                <c:pt idx="101">
                  <c:v>HOMER PUBLIC LIBRARY</c:v>
                </c:pt>
                <c:pt idx="102">
                  <c:v>HUBBARD PUBLIC LIBRARY</c:v>
                </c:pt>
                <c:pt idx="103">
                  <c:v>HUDSON LIBRARY AND HISTORICAL SOCIETY</c:v>
                </c:pt>
                <c:pt idx="104">
                  <c:v>HURON COUNTY COMMUNITY LIBRARY</c:v>
                </c:pt>
                <c:pt idx="105">
                  <c:v>HURON PUBLIC LIBRARY</c:v>
                </c:pt>
                <c:pt idx="106">
                  <c:v>HURT/BATTELLE MEMORIAL LIBRARY/WEST JEFFERSON</c:v>
                </c:pt>
                <c:pt idx="107">
                  <c:v>IDA RUPP PUBLIC LIBRARY</c:v>
                </c:pt>
                <c:pt idx="108">
                  <c:v>J.R. CLARKE PUBLIC LIBRARY</c:v>
                </c:pt>
                <c:pt idx="109">
                  <c:v>JACKSON CITY LIBRARY</c:v>
                </c:pt>
                <c:pt idx="110">
                  <c:v>KATE LOVE SIMPSON-MORGAN COUNTY LIBRARY</c:v>
                </c:pt>
                <c:pt idx="111">
                  <c:v>KAUBISCH MEMORIAL PUBLIC LIBRARY</c:v>
                </c:pt>
                <c:pt idx="112">
                  <c:v>KENT FREE LIBRARY</c:v>
                </c:pt>
                <c:pt idx="113">
                  <c:v>KINGSVILLE PUBLIC LIBRARY</c:v>
                </c:pt>
                <c:pt idx="114">
                  <c:v>KINSMAN FREE PUBLIC LIBRARY</c:v>
                </c:pt>
                <c:pt idx="115">
                  <c:v>KIRTLAND PUBLIC LIBRARY</c:v>
                </c:pt>
                <c:pt idx="116">
                  <c:v>LAKEWOOD PUBLIC LIBRARY</c:v>
                </c:pt>
                <c:pt idx="117">
                  <c:v>LANE PUBLIC LIBRARY</c:v>
                </c:pt>
                <c:pt idx="118">
                  <c:v>LEBANON PUBLIC LIBRARY</c:v>
                </c:pt>
                <c:pt idx="119">
                  <c:v>LEETONIA COMMUNITY PUBLIC LIBRARY</c:v>
                </c:pt>
                <c:pt idx="120">
                  <c:v>LEPPER LIBRARY</c:v>
                </c:pt>
                <c:pt idx="121">
                  <c:v>LIBERTY CENTER PUBLIC LIBRARY</c:v>
                </c:pt>
                <c:pt idx="122">
                  <c:v>LICKING COUNTY LIBRARY</c:v>
                </c:pt>
                <c:pt idx="123">
                  <c:v>LIMA PUBLIC LIBRARY</c:v>
                </c:pt>
                <c:pt idx="124">
                  <c:v>LOGAN COUNTY DISTRICT LIBRARY</c:v>
                </c:pt>
                <c:pt idx="125">
                  <c:v>LOGAN-HOCKING COUNTY DISTRICT LIBRARY</c:v>
                </c:pt>
                <c:pt idx="126">
                  <c:v>LONDON PUBLIC LIBRARY</c:v>
                </c:pt>
                <c:pt idx="127">
                  <c:v>LORAIN PUBLIC LIBRARY</c:v>
                </c:pt>
                <c:pt idx="128">
                  <c:v>LOUDONVILLE PUBLIC LIBRARY</c:v>
                </c:pt>
                <c:pt idx="129">
                  <c:v>LOUISVILLE PUBLIC LIBRARY</c:v>
                </c:pt>
                <c:pt idx="130">
                  <c:v>MADISON PUBLIC LIBRARY</c:v>
                </c:pt>
                <c:pt idx="131">
                  <c:v>MANSFIELD-RICHLAND COUNTY PUBLIC LIBRARY</c:v>
                </c:pt>
                <c:pt idx="132">
                  <c:v>MARION LAWRENCE MEMORIAL LIBRARY</c:v>
                </c:pt>
                <c:pt idx="133">
                  <c:v>MARION PUBLIC LIBRARY</c:v>
                </c:pt>
                <c:pt idx="134">
                  <c:v>MARVIN MEMORIAL LIBRARY</c:v>
                </c:pt>
                <c:pt idx="135">
                  <c:v>MARY L. COOK PUBLIC LIBRARY</c:v>
                </c:pt>
                <c:pt idx="136">
                  <c:v>MARY LOU JOHNSON-HARDIN CNTY PL</c:v>
                </c:pt>
                <c:pt idx="137">
                  <c:v>MARYSVILLE  PUBLIC LIBRARY</c:v>
                </c:pt>
                <c:pt idx="138">
                  <c:v>MASON PUBLIC LIBRARY</c:v>
                </c:pt>
                <c:pt idx="139">
                  <c:v>MASSILLON PUBLIC LIBRARY</c:v>
                </c:pt>
                <c:pt idx="140">
                  <c:v>MCCOMB PUBLIC LIBRARY</c:v>
                </c:pt>
                <c:pt idx="141">
                  <c:v>MCKINLEY MEMORIAL LIBRARY</c:v>
                </c:pt>
                <c:pt idx="142">
                  <c:v>MECHANICSBURG PUBLIC LIBRARY</c:v>
                </c:pt>
                <c:pt idx="143">
                  <c:v>MEDINA COUNTY DISTRICT LIBRARY</c:v>
                </c:pt>
                <c:pt idx="144">
                  <c:v>MEIGS COUNTY DISTRICT PUBLIC LIBRARY</c:v>
                </c:pt>
                <c:pt idx="145">
                  <c:v>MENTOR PUBLIC LIBRARY</c:v>
                </c:pt>
                <c:pt idx="146">
                  <c:v>MERCER COUNTY DISTRICT PUBLIC LIBRARY</c:v>
                </c:pt>
                <c:pt idx="147">
                  <c:v>MIDPOINTE LIBRARY SYSTEM</c:v>
                </c:pt>
                <c:pt idx="148">
                  <c:v>MILAN-BERLIN LIBRARY DISTRICT</c:v>
                </c:pt>
                <c:pt idx="149">
                  <c:v>MILTON UNION PUBLIC LIBRARY</c:v>
                </c:pt>
                <c:pt idx="150">
                  <c:v>MINERVA PUBLIC LIBRARY</c:v>
                </c:pt>
                <c:pt idx="151">
                  <c:v>MOHAWK COMMUNITY LIBRARY</c:v>
                </c:pt>
                <c:pt idx="152">
                  <c:v>MONROE COUNTY DISTRICT LIBRARY</c:v>
                </c:pt>
                <c:pt idx="153">
                  <c:v>MONROEVILLE PUBLIC LIBRARY</c:v>
                </c:pt>
                <c:pt idx="154">
                  <c:v>MONTPELIER PUBLIC LIBRARY</c:v>
                </c:pt>
                <c:pt idx="155">
                  <c:v>MORLEY LIBRARY</c:v>
                </c:pt>
                <c:pt idx="156">
                  <c:v>MT GILEAD  PUBLIC LIBRARY</c:v>
                </c:pt>
                <c:pt idx="157">
                  <c:v>MT STERLING PUBLIC LIBRARY</c:v>
                </c:pt>
                <c:pt idx="158">
                  <c:v>MT VERNON &amp; KNOX COUNTY, PUBLIC LIBRARY OF</c:v>
                </c:pt>
                <c:pt idx="159">
                  <c:v>MUSKINGUM COUNTY LIBRARY SYSTEM</c:v>
                </c:pt>
                <c:pt idx="160">
                  <c:v>NAPOLEON PUBLIC LIBRARY</c:v>
                </c:pt>
                <c:pt idx="161">
                  <c:v>NEW CARLISLE PUBLIC LIBRARY</c:v>
                </c:pt>
                <c:pt idx="162">
                  <c:v>NEW LONDON PUBLIC LIBRARY</c:v>
                </c:pt>
                <c:pt idx="163">
                  <c:v>NEW MADISON PUBLIC LIBRARY</c:v>
                </c:pt>
                <c:pt idx="164">
                  <c:v>NEW STRAITSVILLE PUBLIC LIBRARY</c:v>
                </c:pt>
                <c:pt idx="165">
                  <c:v>NEWCOMERSTOWN PUBLIC LIBRARY</c:v>
                </c:pt>
                <c:pt idx="166">
                  <c:v>NEWTON FALLS PUBLIC LIBRARY</c:v>
                </c:pt>
                <c:pt idx="167">
                  <c:v>NORMAL MEMORIAL LIBRARY</c:v>
                </c:pt>
                <c:pt idx="168">
                  <c:v>NORTH BALTIMORE PUBLIC LIBRARY</c:v>
                </c:pt>
                <c:pt idx="169">
                  <c:v>NORTH CANTON PUBLIC LIBRARY</c:v>
                </c:pt>
                <c:pt idx="170">
                  <c:v>NORWALK PUBLIC LIBRARY</c:v>
                </c:pt>
                <c:pt idx="171">
                  <c:v>OAK HARBOR PUBLIC LIBRARY</c:v>
                </c:pt>
                <c:pt idx="172">
                  <c:v>OAK HILL PUBLIC LIBRARY</c:v>
                </c:pt>
                <c:pt idx="173">
                  <c:v>OBERLIN PUBLIC LIBRARY</c:v>
                </c:pt>
                <c:pt idx="174">
                  <c:v>ORRVILLE PUBLIC LIBRARY</c:v>
                </c:pt>
                <c:pt idx="175">
                  <c:v>PATASKALA PUBLIC LIBRARY</c:v>
                </c:pt>
                <c:pt idx="176">
                  <c:v>PATRICK HENRY SCHOOL DISTRICT PUBLIC LIBRARY</c:v>
                </c:pt>
                <c:pt idx="177">
                  <c:v>PAULDING COUNTY CARNEGIE LIBRARY</c:v>
                </c:pt>
                <c:pt idx="178">
                  <c:v>PEMBERVILLE PUBLIC LIBRARY</c:v>
                </c:pt>
                <c:pt idx="179">
                  <c:v>PENINSULA LIBRARY &amp; HISTORICAL SOCIETY</c:v>
                </c:pt>
                <c:pt idx="180">
                  <c:v>PERRY COOK MEMORIAL PUBLIC LIBRARY</c:v>
                </c:pt>
                <c:pt idx="181">
                  <c:v>PERRY COUNTY DISTRICT LIBRARY</c:v>
                </c:pt>
                <c:pt idx="182">
                  <c:v>PERRY PUBLIC LIBRARY</c:v>
                </c:pt>
                <c:pt idx="183">
                  <c:v>PICKAWAY COUNTY DISTRICT PUBLIC LIBRARY</c:v>
                </c:pt>
                <c:pt idx="184">
                  <c:v>PICKERINGTON PUBLIC LIBRARY</c:v>
                </c:pt>
                <c:pt idx="185">
                  <c:v>Piqua Public Library</c:v>
                </c:pt>
                <c:pt idx="186">
                  <c:v>PLAIN CITY PUBLIC LIBRARY</c:v>
                </c:pt>
                <c:pt idx="187">
                  <c:v>PORTAGE COUNTY DISTRICT LIBRARY</c:v>
                </c:pt>
                <c:pt idx="188">
                  <c:v>PORTSMOUTH PUBLIC LIBRARY</c:v>
                </c:pt>
                <c:pt idx="189">
                  <c:v>PREBLE COUNTY DISTRICT LIBRARY</c:v>
                </c:pt>
                <c:pt idx="190">
                  <c:v>PUSKARICH PUBLIC LIBRARY</c:v>
                </c:pt>
                <c:pt idx="191">
                  <c:v>PUTNAM COUNTY DISTRICT LIBRARY</c:v>
                </c:pt>
                <c:pt idx="192">
                  <c:v>REED MEMORIAL LIBRARY</c:v>
                </c:pt>
                <c:pt idx="193">
                  <c:v>RICHWOOD-NORTH UNION PUBLIC LIBRARY</c:v>
                </c:pt>
                <c:pt idx="194">
                  <c:v>RIDGEMONT PUBLIC LIBRARY</c:v>
                </c:pt>
                <c:pt idx="195">
                  <c:v>RITTER PUBLIC LIBRARY</c:v>
                </c:pt>
                <c:pt idx="196">
                  <c:v>ROCK CREEK PUBLIC LIBRARY</c:v>
                </c:pt>
                <c:pt idx="197">
                  <c:v>ROCKFORD CARNEGIE LIBRARY</c:v>
                </c:pt>
                <c:pt idx="198">
                  <c:v>ROCKY RIVER PUBLIC LIBRARY</c:v>
                </c:pt>
                <c:pt idx="199">
                  <c:v>RODMAN PUBLIC LIBRARY</c:v>
                </c:pt>
                <c:pt idx="200">
                  <c:v>ROSSFORD PUBLIC LIBRARY</c:v>
                </c:pt>
                <c:pt idx="201">
                  <c:v>SABINA PUBLIC LIBRARY</c:v>
                </c:pt>
                <c:pt idx="202">
                  <c:v>SALEM PUBLIC LIBRARY</c:v>
                </c:pt>
                <c:pt idx="203">
                  <c:v>SALEM TOWNSHIP PUBLIC LIBRARY</c:v>
                </c:pt>
                <c:pt idx="204">
                  <c:v>SANDUSKY LIBRARY</c:v>
                </c:pt>
                <c:pt idx="205">
                  <c:v>SELOVER PUBLIC LIBRARY</c:v>
                </c:pt>
                <c:pt idx="206">
                  <c:v>SENECA EAST PUBLIC LIBRARY</c:v>
                </c:pt>
                <c:pt idx="207">
                  <c:v>SHAKER HEIGHTS PUBLIC LIBRARY</c:v>
                </c:pt>
                <c:pt idx="208">
                  <c:v>SHELBY COUNTY LIBRARIES - AMOS MEMORIAL</c:v>
                </c:pt>
                <c:pt idx="209">
                  <c:v>SOUTHWEST PUBLIC LIBRARIES</c:v>
                </c:pt>
                <c:pt idx="210">
                  <c:v>ST. CLAIRSVILLE PUBLIC LIBRARY</c:v>
                </c:pt>
                <c:pt idx="211">
                  <c:v>ST. MARYS COMMUNITY PUBLIC LIBRARY</c:v>
                </c:pt>
                <c:pt idx="212">
                  <c:v>ST. PARIS PUBLIC LIBRARY</c:v>
                </c:pt>
                <c:pt idx="213">
                  <c:v>STARK COUNTY DISTRICT LIBRARY</c:v>
                </c:pt>
                <c:pt idx="214">
                  <c:v>STEUBENVILLE &amp; JEFFERSON COUNTY, PL OF</c:v>
                </c:pt>
                <c:pt idx="215">
                  <c:v>STOW-MUNROE FALLS PUBLIC LIBRARY</c:v>
                </c:pt>
                <c:pt idx="216">
                  <c:v>SUNBURY COMMUNITY LIBRARY</c:v>
                </c:pt>
                <c:pt idx="217">
                  <c:v>SWANTON PUBLIC LIBRARY</c:v>
                </c:pt>
                <c:pt idx="218">
                  <c:v>SYLVESTER MEMORIAL WELLSTON PUBLIC LIBRARY</c:v>
                </c:pt>
                <c:pt idx="219">
                  <c:v>TIFFIN-SENECA PUBLIC LIBRARY</c:v>
                </c:pt>
                <c:pt idx="220">
                  <c:v>TIPP CITY PUBLIC LIBRARY</c:v>
                </c:pt>
                <c:pt idx="221">
                  <c:v>Toledo-Lucas County Public Library</c:v>
                </c:pt>
                <c:pt idx="222">
                  <c:v>TROY-MIAMI COUNTY PUBLIC LIBRARY</c:v>
                </c:pt>
                <c:pt idx="223">
                  <c:v>TUSCARAWAS COUNTY PUBLIC LIBRARY</c:v>
                </c:pt>
                <c:pt idx="224">
                  <c:v>TWINSBURG PUBLIC LIBRARY</c:v>
                </c:pt>
                <c:pt idx="225">
                  <c:v>UNION TOWNSHIP PUBLIC LIBRARY</c:v>
                </c:pt>
                <c:pt idx="226">
                  <c:v>UPPER ARLINGTON PUBLIC LIBRARY</c:v>
                </c:pt>
                <c:pt idx="227">
                  <c:v>UPPER SANDUSKY COMMUNITY LIBRARY</c:v>
                </c:pt>
                <c:pt idx="228">
                  <c:v>WADSWORTH PUBLIC LIBRARY</c:v>
                </c:pt>
                <c:pt idx="229">
                  <c:v>WAGNALLS MEMORIAL LIBRARY</c:v>
                </c:pt>
                <c:pt idx="230">
                  <c:v>WARREN-TRUMBULL COUNTY PUBLIC LIBRARY</c:v>
                </c:pt>
                <c:pt idx="231">
                  <c:v>WASHINGTON COUNTY PUBLIC LIBRARY</c:v>
                </c:pt>
                <c:pt idx="232">
                  <c:v>WASHINGTON-CENTERVILLE PUBLIC LIBRARY</c:v>
                </c:pt>
                <c:pt idx="233">
                  <c:v>WAUSEON PUBLIC LIBRARY</c:v>
                </c:pt>
                <c:pt idx="234">
                  <c:v>WAY PUBLIC LIBRARY</c:v>
                </c:pt>
                <c:pt idx="235">
                  <c:v>WAYNE COUNTY PUBLIC LIBRARY</c:v>
                </c:pt>
                <c:pt idx="236">
                  <c:v>WAYNE PUBLIC LIBRARY</c:v>
                </c:pt>
                <c:pt idx="237">
                  <c:v>WELLSVILLE CARNEGIE PUBLIC LIBRARY</c:v>
                </c:pt>
                <c:pt idx="238">
                  <c:v>WESTERVILLE PUBLIC LIBRARY</c:v>
                </c:pt>
                <c:pt idx="239">
                  <c:v>WESTLAKE PORTER PUBLIC LIBRARY</c:v>
                </c:pt>
                <c:pt idx="240">
                  <c:v>WESTON PUBLIC LIBRARY</c:v>
                </c:pt>
                <c:pt idx="241">
                  <c:v>WICKLIFFE PUBLIC LIBRARY</c:v>
                </c:pt>
                <c:pt idx="242">
                  <c:v>WILLIAMS CO PUBLIC LIBRARY</c:v>
                </c:pt>
                <c:pt idx="243">
                  <c:v>WILLOUGHBY-EASTLAKE PUBLIC LIBRARY</c:v>
                </c:pt>
                <c:pt idx="244">
                  <c:v>WILMINGTON PUBLIC LIBRARY OF CLINTON COUNTY</c:v>
                </c:pt>
                <c:pt idx="245">
                  <c:v>WOOD COUNTY DISTRICT PUBLIC LIBRARY</c:v>
                </c:pt>
                <c:pt idx="246">
                  <c:v>WORCH MEMORIAL PUBLIC LIBRARY</c:v>
                </c:pt>
                <c:pt idx="247">
                  <c:v>WORNSTAFF MEMORIAL PUBLIC LIBRARY</c:v>
                </c:pt>
                <c:pt idx="248">
                  <c:v>WORTHINGTON PUBLIC LIBRARY</c:v>
                </c:pt>
                <c:pt idx="249">
                  <c:v>WRIGHT MEMORIAL PUBLIC LIBRARY</c:v>
                </c:pt>
                <c:pt idx="250">
                  <c:v>YOUNGSTOWN AND MAHONING COUNTY, PL OF</c:v>
                </c:pt>
              </c:strCache>
            </c:strRef>
          </c:cat>
          <c:val>
            <c:numRef>
              <c:f>Borrowers!$B$2:$B$252</c:f>
              <c:numCache>
                <c:formatCode>#,##0</c:formatCode>
                <c:ptCount val="251"/>
                <c:pt idx="0">
                  <c:v>2290</c:v>
                </c:pt>
                <c:pt idx="1">
                  <c:v>8184</c:v>
                </c:pt>
                <c:pt idx="2">
                  <c:v>240309</c:v>
                </c:pt>
                <c:pt idx="3">
                  <c:v>2491</c:v>
                </c:pt>
                <c:pt idx="4">
                  <c:v>599</c:v>
                </c:pt>
                <c:pt idx="5">
                  <c:v>10368</c:v>
                </c:pt>
                <c:pt idx="6">
                  <c:v>2972</c:v>
                </c:pt>
                <c:pt idx="7">
                  <c:v>2321</c:v>
                </c:pt>
                <c:pt idx="8">
                  <c:v>7169</c:v>
                </c:pt>
                <c:pt idx="9">
                  <c:v>9676</c:v>
                </c:pt>
                <c:pt idx="10">
                  <c:v>23583</c:v>
                </c:pt>
                <c:pt idx="11">
                  <c:v>36219</c:v>
                </c:pt>
                <c:pt idx="12">
                  <c:v>16485</c:v>
                </c:pt>
                <c:pt idx="13">
                  <c:v>26737</c:v>
                </c:pt>
                <c:pt idx="14">
                  <c:v>17396</c:v>
                </c:pt>
                <c:pt idx="15">
                  <c:v>3936</c:v>
                </c:pt>
                <c:pt idx="16">
                  <c:v>2608</c:v>
                </c:pt>
                <c:pt idx="17">
                  <c:v>1262</c:v>
                </c:pt>
                <c:pt idx="18">
                  <c:v>5511</c:v>
                </c:pt>
                <c:pt idx="19">
                  <c:v>6375</c:v>
                </c:pt>
                <c:pt idx="20">
                  <c:v>2669</c:v>
                </c:pt>
                <c:pt idx="21">
                  <c:v>22222</c:v>
                </c:pt>
                <c:pt idx="22">
                  <c:v>13693</c:v>
                </c:pt>
                <c:pt idx="23">
                  <c:v>8493</c:v>
                </c:pt>
                <c:pt idx="24">
                  <c:v>517</c:v>
                </c:pt>
                <c:pt idx="25">
                  <c:v>3057</c:v>
                </c:pt>
                <c:pt idx="26">
                  <c:v>812</c:v>
                </c:pt>
                <c:pt idx="27">
                  <c:v>4897</c:v>
                </c:pt>
                <c:pt idx="28">
                  <c:v>12625</c:v>
                </c:pt>
                <c:pt idx="29">
                  <c:v>2517</c:v>
                </c:pt>
                <c:pt idx="30">
                  <c:v>10069</c:v>
                </c:pt>
                <c:pt idx="31">
                  <c:v>758</c:v>
                </c:pt>
                <c:pt idx="32">
                  <c:v>24116</c:v>
                </c:pt>
                <c:pt idx="33">
                  <c:v>9239</c:v>
                </c:pt>
                <c:pt idx="34">
                  <c:v>3911</c:v>
                </c:pt>
                <c:pt idx="35">
                  <c:v>3379</c:v>
                </c:pt>
                <c:pt idx="36">
                  <c:v>7352</c:v>
                </c:pt>
                <c:pt idx="37">
                  <c:v>1329</c:v>
                </c:pt>
                <c:pt idx="38">
                  <c:v>10164</c:v>
                </c:pt>
                <c:pt idx="39">
                  <c:v>7312</c:v>
                </c:pt>
                <c:pt idx="40">
                  <c:v>9161</c:v>
                </c:pt>
                <c:pt idx="41">
                  <c:v>3853</c:v>
                </c:pt>
                <c:pt idx="42">
                  <c:v>15189</c:v>
                </c:pt>
                <c:pt idx="43">
                  <c:v>18130</c:v>
                </c:pt>
                <c:pt idx="44">
                  <c:v>350976</c:v>
                </c:pt>
                <c:pt idx="45">
                  <c:v>58882</c:v>
                </c:pt>
                <c:pt idx="46">
                  <c:v>4054</c:v>
                </c:pt>
                <c:pt idx="47">
                  <c:v>92946</c:v>
                </c:pt>
                <c:pt idx="48">
                  <c:v>37434</c:v>
                </c:pt>
                <c:pt idx="49">
                  <c:v>225233</c:v>
                </c:pt>
                <c:pt idx="50">
                  <c:v>3466</c:v>
                </c:pt>
                <c:pt idx="51">
                  <c:v>9486</c:v>
                </c:pt>
                <c:pt idx="52">
                  <c:v>10159</c:v>
                </c:pt>
                <c:pt idx="53">
                  <c:v>453494</c:v>
                </c:pt>
                <c:pt idx="54">
                  <c:v>6197</c:v>
                </c:pt>
                <c:pt idx="55">
                  <c:v>9527</c:v>
                </c:pt>
                <c:pt idx="56">
                  <c:v>10040</c:v>
                </c:pt>
                <c:pt idx="57">
                  <c:v>657733</c:v>
                </c:pt>
                <c:pt idx="58">
                  <c:v>68864</c:v>
                </c:pt>
                <c:pt idx="59">
                  <c:v>310424</c:v>
                </c:pt>
                <c:pt idx="60">
                  <c:v>12253</c:v>
                </c:pt>
                <c:pt idx="61">
                  <c:v>84465</c:v>
                </c:pt>
                <c:pt idx="62">
                  <c:v>5379</c:v>
                </c:pt>
                <c:pt idx="63">
                  <c:v>4408</c:v>
                </c:pt>
                <c:pt idx="64">
                  <c:v>2723</c:v>
                </c:pt>
                <c:pt idx="65">
                  <c:v>12222</c:v>
                </c:pt>
                <c:pt idx="66">
                  <c:v>243</c:v>
                </c:pt>
                <c:pt idx="67">
                  <c:v>14754</c:v>
                </c:pt>
                <c:pt idx="68">
                  <c:v>7998</c:v>
                </c:pt>
                <c:pt idx="69">
                  <c:v>3307</c:v>
                </c:pt>
                <c:pt idx="70">
                  <c:v>26775</c:v>
                </c:pt>
                <c:pt idx="71">
                  <c:v>21149</c:v>
                </c:pt>
                <c:pt idx="72">
                  <c:v>3933</c:v>
                </c:pt>
                <c:pt idx="73">
                  <c:v>34935</c:v>
                </c:pt>
                <c:pt idx="74">
                  <c:v>2289</c:v>
                </c:pt>
                <c:pt idx="75">
                  <c:v>25418</c:v>
                </c:pt>
                <c:pt idx="76">
                  <c:v>1089</c:v>
                </c:pt>
                <c:pt idx="77">
                  <c:v>1663</c:v>
                </c:pt>
                <c:pt idx="78">
                  <c:v>12013</c:v>
                </c:pt>
                <c:pt idx="79">
                  <c:v>11343</c:v>
                </c:pt>
                <c:pt idx="80">
                  <c:v>7590</c:v>
                </c:pt>
                <c:pt idx="81">
                  <c:v>39176</c:v>
                </c:pt>
                <c:pt idx="82">
                  <c:v>9224</c:v>
                </c:pt>
                <c:pt idx="83">
                  <c:v>7865</c:v>
                </c:pt>
                <c:pt idx="84">
                  <c:v>600</c:v>
                </c:pt>
                <c:pt idx="85">
                  <c:v>4000</c:v>
                </c:pt>
                <c:pt idx="86">
                  <c:v>4937</c:v>
                </c:pt>
                <c:pt idx="87">
                  <c:v>15810</c:v>
                </c:pt>
                <c:pt idx="88">
                  <c:v>6320</c:v>
                </c:pt>
                <c:pt idx="89">
                  <c:v>79796</c:v>
                </c:pt>
                <c:pt idx="90">
                  <c:v>17000</c:v>
                </c:pt>
                <c:pt idx="91">
                  <c:v>9428</c:v>
                </c:pt>
                <c:pt idx="92">
                  <c:v>4610</c:v>
                </c:pt>
                <c:pt idx="93">
                  <c:v>908</c:v>
                </c:pt>
                <c:pt idx="94">
                  <c:v>2837</c:v>
                </c:pt>
                <c:pt idx="95">
                  <c:v>5311</c:v>
                </c:pt>
                <c:pt idx="96">
                  <c:v>2236</c:v>
                </c:pt>
                <c:pt idx="97">
                  <c:v>5071</c:v>
                </c:pt>
                <c:pt idx="98">
                  <c:v>18941</c:v>
                </c:pt>
                <c:pt idx="99">
                  <c:v>576</c:v>
                </c:pt>
                <c:pt idx="100">
                  <c:v>12507</c:v>
                </c:pt>
                <c:pt idx="101">
                  <c:v>535</c:v>
                </c:pt>
                <c:pt idx="102">
                  <c:v>6537</c:v>
                </c:pt>
                <c:pt idx="103">
                  <c:v>20985</c:v>
                </c:pt>
                <c:pt idx="104">
                  <c:v>8047</c:v>
                </c:pt>
                <c:pt idx="105">
                  <c:v>5112</c:v>
                </c:pt>
                <c:pt idx="106">
                  <c:v>6301</c:v>
                </c:pt>
                <c:pt idx="107">
                  <c:v>8570</c:v>
                </c:pt>
                <c:pt idx="108">
                  <c:v>2273</c:v>
                </c:pt>
                <c:pt idx="109">
                  <c:v>6297</c:v>
                </c:pt>
                <c:pt idx="110">
                  <c:v>4841</c:v>
                </c:pt>
                <c:pt idx="111">
                  <c:v>6732</c:v>
                </c:pt>
                <c:pt idx="112">
                  <c:v>32134</c:v>
                </c:pt>
                <c:pt idx="113">
                  <c:v>2767</c:v>
                </c:pt>
                <c:pt idx="114">
                  <c:v>2863</c:v>
                </c:pt>
                <c:pt idx="115">
                  <c:v>2776</c:v>
                </c:pt>
                <c:pt idx="116">
                  <c:v>66866</c:v>
                </c:pt>
                <c:pt idx="117">
                  <c:v>146281</c:v>
                </c:pt>
                <c:pt idx="118">
                  <c:v>39991</c:v>
                </c:pt>
                <c:pt idx="119">
                  <c:v>5252</c:v>
                </c:pt>
                <c:pt idx="120">
                  <c:v>2780</c:v>
                </c:pt>
                <c:pt idx="121">
                  <c:v>1097</c:v>
                </c:pt>
                <c:pt idx="122">
                  <c:v>35959</c:v>
                </c:pt>
                <c:pt idx="123">
                  <c:v>24698</c:v>
                </c:pt>
                <c:pt idx="124">
                  <c:v>9460</c:v>
                </c:pt>
                <c:pt idx="125">
                  <c:v>22306</c:v>
                </c:pt>
                <c:pt idx="126">
                  <c:v>7810</c:v>
                </c:pt>
                <c:pt idx="127">
                  <c:v>50672</c:v>
                </c:pt>
                <c:pt idx="128">
                  <c:v>5313</c:v>
                </c:pt>
                <c:pt idx="129">
                  <c:v>8073</c:v>
                </c:pt>
                <c:pt idx="130">
                  <c:v>10624</c:v>
                </c:pt>
                <c:pt idx="131">
                  <c:v>52477</c:v>
                </c:pt>
                <c:pt idx="132">
                  <c:v>184</c:v>
                </c:pt>
                <c:pt idx="133">
                  <c:v>21732</c:v>
                </c:pt>
                <c:pt idx="134">
                  <c:v>3524</c:v>
                </c:pt>
                <c:pt idx="135">
                  <c:v>7206</c:v>
                </c:pt>
                <c:pt idx="136">
                  <c:v>10796</c:v>
                </c:pt>
                <c:pt idx="137">
                  <c:v>20814</c:v>
                </c:pt>
                <c:pt idx="138">
                  <c:v>45136</c:v>
                </c:pt>
                <c:pt idx="139">
                  <c:v>27165</c:v>
                </c:pt>
                <c:pt idx="140">
                  <c:v>1464</c:v>
                </c:pt>
                <c:pt idx="141">
                  <c:v>11639</c:v>
                </c:pt>
                <c:pt idx="142">
                  <c:v>1307</c:v>
                </c:pt>
                <c:pt idx="143">
                  <c:v>77284</c:v>
                </c:pt>
                <c:pt idx="144">
                  <c:v>20437</c:v>
                </c:pt>
                <c:pt idx="145">
                  <c:v>57140</c:v>
                </c:pt>
                <c:pt idx="146">
                  <c:v>7749</c:v>
                </c:pt>
                <c:pt idx="147">
                  <c:v>144723</c:v>
                </c:pt>
                <c:pt idx="148">
                  <c:v>2884</c:v>
                </c:pt>
                <c:pt idx="149">
                  <c:v>4785</c:v>
                </c:pt>
                <c:pt idx="150">
                  <c:v>3953</c:v>
                </c:pt>
                <c:pt idx="151">
                  <c:v>1230</c:v>
                </c:pt>
                <c:pt idx="152">
                  <c:v>3229</c:v>
                </c:pt>
                <c:pt idx="153">
                  <c:v>1225</c:v>
                </c:pt>
                <c:pt idx="154">
                  <c:v>2387</c:v>
                </c:pt>
                <c:pt idx="155">
                  <c:v>18097</c:v>
                </c:pt>
                <c:pt idx="156">
                  <c:v>2379</c:v>
                </c:pt>
                <c:pt idx="157">
                  <c:v>1792</c:v>
                </c:pt>
                <c:pt idx="158">
                  <c:v>40726</c:v>
                </c:pt>
                <c:pt idx="159">
                  <c:v>32345</c:v>
                </c:pt>
                <c:pt idx="160">
                  <c:v>4228</c:v>
                </c:pt>
                <c:pt idx="161">
                  <c:v>5542</c:v>
                </c:pt>
                <c:pt idx="162">
                  <c:v>1528</c:v>
                </c:pt>
                <c:pt idx="163">
                  <c:v>1600</c:v>
                </c:pt>
                <c:pt idx="164">
                  <c:v>643</c:v>
                </c:pt>
                <c:pt idx="165">
                  <c:v>2932</c:v>
                </c:pt>
                <c:pt idx="166">
                  <c:v>7272</c:v>
                </c:pt>
                <c:pt idx="167">
                  <c:v>820</c:v>
                </c:pt>
                <c:pt idx="168">
                  <c:v>2173</c:v>
                </c:pt>
                <c:pt idx="169">
                  <c:v>26452</c:v>
                </c:pt>
                <c:pt idx="170">
                  <c:v>7298</c:v>
                </c:pt>
                <c:pt idx="171">
                  <c:v>2632</c:v>
                </c:pt>
                <c:pt idx="172">
                  <c:v>6456</c:v>
                </c:pt>
                <c:pt idx="173">
                  <c:v>10405</c:v>
                </c:pt>
                <c:pt idx="174">
                  <c:v>8653</c:v>
                </c:pt>
                <c:pt idx="175">
                  <c:v>5119</c:v>
                </c:pt>
                <c:pt idx="176">
                  <c:v>1245</c:v>
                </c:pt>
                <c:pt idx="177">
                  <c:v>11433</c:v>
                </c:pt>
                <c:pt idx="178">
                  <c:v>1959</c:v>
                </c:pt>
                <c:pt idx="179">
                  <c:v>1401</c:v>
                </c:pt>
                <c:pt idx="180">
                  <c:v>1706</c:v>
                </c:pt>
                <c:pt idx="181">
                  <c:v>12800</c:v>
                </c:pt>
                <c:pt idx="182">
                  <c:v>4461</c:v>
                </c:pt>
                <c:pt idx="183">
                  <c:v>12377</c:v>
                </c:pt>
                <c:pt idx="184">
                  <c:v>19313</c:v>
                </c:pt>
                <c:pt idx="185">
                  <c:v>30689</c:v>
                </c:pt>
                <c:pt idx="186">
                  <c:v>6203</c:v>
                </c:pt>
                <c:pt idx="187">
                  <c:v>22432</c:v>
                </c:pt>
                <c:pt idx="188">
                  <c:v>28371</c:v>
                </c:pt>
                <c:pt idx="189">
                  <c:v>11241</c:v>
                </c:pt>
                <c:pt idx="190">
                  <c:v>4991</c:v>
                </c:pt>
                <c:pt idx="191">
                  <c:v>5475</c:v>
                </c:pt>
                <c:pt idx="192">
                  <c:v>18110</c:v>
                </c:pt>
                <c:pt idx="193">
                  <c:v>2202</c:v>
                </c:pt>
                <c:pt idx="194">
                  <c:v>714</c:v>
                </c:pt>
                <c:pt idx="195">
                  <c:v>8912</c:v>
                </c:pt>
                <c:pt idx="196">
                  <c:v>1261</c:v>
                </c:pt>
                <c:pt idx="197">
                  <c:v>707</c:v>
                </c:pt>
                <c:pt idx="198">
                  <c:v>19295</c:v>
                </c:pt>
                <c:pt idx="199">
                  <c:v>16617</c:v>
                </c:pt>
                <c:pt idx="200">
                  <c:v>5168</c:v>
                </c:pt>
                <c:pt idx="201">
                  <c:v>6588</c:v>
                </c:pt>
                <c:pt idx="202">
                  <c:v>14928</c:v>
                </c:pt>
                <c:pt idx="203">
                  <c:v>7445</c:v>
                </c:pt>
                <c:pt idx="204">
                  <c:v>16324</c:v>
                </c:pt>
                <c:pt idx="205">
                  <c:v>1643</c:v>
                </c:pt>
                <c:pt idx="206">
                  <c:v>968</c:v>
                </c:pt>
                <c:pt idx="207">
                  <c:v>21591</c:v>
                </c:pt>
                <c:pt idx="208">
                  <c:v>32438</c:v>
                </c:pt>
                <c:pt idx="209">
                  <c:v>62370</c:v>
                </c:pt>
                <c:pt idx="210">
                  <c:v>4679</c:v>
                </c:pt>
                <c:pt idx="211">
                  <c:v>4686</c:v>
                </c:pt>
                <c:pt idx="212">
                  <c:v>4193</c:v>
                </c:pt>
                <c:pt idx="213">
                  <c:v>81445</c:v>
                </c:pt>
                <c:pt idx="214">
                  <c:v>18682</c:v>
                </c:pt>
                <c:pt idx="215">
                  <c:v>21217</c:v>
                </c:pt>
                <c:pt idx="216">
                  <c:v>17245</c:v>
                </c:pt>
                <c:pt idx="217">
                  <c:v>11424</c:v>
                </c:pt>
                <c:pt idx="218">
                  <c:v>7980</c:v>
                </c:pt>
                <c:pt idx="219">
                  <c:v>10105</c:v>
                </c:pt>
                <c:pt idx="220">
                  <c:v>5244</c:v>
                </c:pt>
                <c:pt idx="221">
                  <c:v>200762</c:v>
                </c:pt>
                <c:pt idx="222">
                  <c:v>20351</c:v>
                </c:pt>
                <c:pt idx="223">
                  <c:v>18210</c:v>
                </c:pt>
                <c:pt idx="224">
                  <c:v>22290</c:v>
                </c:pt>
                <c:pt idx="225">
                  <c:v>3920</c:v>
                </c:pt>
                <c:pt idx="226">
                  <c:v>30075</c:v>
                </c:pt>
                <c:pt idx="227">
                  <c:v>5258</c:v>
                </c:pt>
                <c:pt idx="228">
                  <c:v>17186</c:v>
                </c:pt>
                <c:pt idx="229">
                  <c:v>6226</c:v>
                </c:pt>
                <c:pt idx="230">
                  <c:v>45656</c:v>
                </c:pt>
                <c:pt idx="231">
                  <c:v>22729</c:v>
                </c:pt>
                <c:pt idx="232">
                  <c:v>59801</c:v>
                </c:pt>
                <c:pt idx="233">
                  <c:v>4921</c:v>
                </c:pt>
                <c:pt idx="234">
                  <c:v>21821</c:v>
                </c:pt>
                <c:pt idx="235">
                  <c:v>36691</c:v>
                </c:pt>
                <c:pt idx="236">
                  <c:v>1300</c:v>
                </c:pt>
                <c:pt idx="237">
                  <c:v>3485</c:v>
                </c:pt>
                <c:pt idx="238">
                  <c:v>80344</c:v>
                </c:pt>
                <c:pt idx="239">
                  <c:v>23834</c:v>
                </c:pt>
                <c:pt idx="240">
                  <c:v>1472</c:v>
                </c:pt>
                <c:pt idx="241">
                  <c:v>7146</c:v>
                </c:pt>
                <c:pt idx="242">
                  <c:v>10829</c:v>
                </c:pt>
                <c:pt idx="243">
                  <c:v>23904</c:v>
                </c:pt>
                <c:pt idx="244">
                  <c:v>8712</c:v>
                </c:pt>
                <c:pt idx="245">
                  <c:v>18485</c:v>
                </c:pt>
                <c:pt idx="246">
                  <c:v>1410</c:v>
                </c:pt>
                <c:pt idx="247">
                  <c:v>1171</c:v>
                </c:pt>
                <c:pt idx="248">
                  <c:v>67584</c:v>
                </c:pt>
                <c:pt idx="249">
                  <c:v>12383</c:v>
                </c:pt>
                <c:pt idx="250">
                  <c:v>77088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B-451B-A4C5-2C3154A6D7AE}"/>
            </c:ext>
          </c:extLst>
        </c:ser>
        <c:ser>
          <c:idx val="1"/>
          <c:order val="1"/>
          <c:tx>
            <c:strRef>
              <c:f>Borrowers!$C$1</c:f>
              <c:strCache>
                <c:ptCount val="1"/>
                <c:pt idx="0">
                  <c:v>1.26 Registered Borrowers Children</c:v>
                </c:pt>
              </c:strCache>
            </c:strRef>
          </c:tx>
          <c:spPr>
            <a:solidFill>
              <a:schemeClr val="accent2"/>
            </a:solidFill>
            <a:ln w="12700">
              <a:solidFill>
                <a:schemeClr val="accent2"/>
              </a:solidFill>
            </a:ln>
            <a:effectLst/>
          </c:spPr>
          <c:invertIfNegative val="0"/>
          <c:cat>
            <c:strRef>
              <c:f>Borrowers!$A$2:$A$252</c:f>
              <c:strCache>
                <c:ptCount val="251"/>
                <c:pt idx="0">
                  <c:v>ADA PUBLIC SCHOOL DISTRICT LIBRARY</c:v>
                </c:pt>
                <c:pt idx="1">
                  <c:v>ADAMS COUNTY PUBLIC LIBRARY</c:v>
                </c:pt>
                <c:pt idx="2">
                  <c:v>AKRON-SUMMIT CNTY PUBLIC LIBRARY</c:v>
                </c:pt>
                <c:pt idx="3">
                  <c:v>ALEXANDRIA PUBLIC LIBRARY</c:v>
                </c:pt>
                <c:pt idx="4">
                  <c:v>ALGER PUBLIC LIBRARY</c:v>
                </c:pt>
                <c:pt idx="5">
                  <c:v>AMHERST PUBLIC LIBRARY</c:v>
                </c:pt>
                <c:pt idx="6">
                  <c:v>ANDOVER PUBLIC LIBRARY</c:v>
                </c:pt>
                <c:pt idx="7">
                  <c:v>ARCANUM PUBLIC LIBRARY</c:v>
                </c:pt>
                <c:pt idx="8">
                  <c:v>ARCHBOLD COMMUNITY LIBRARY</c:v>
                </c:pt>
                <c:pt idx="9">
                  <c:v>ASHLAND PUBLIC LIBRARY</c:v>
                </c:pt>
                <c:pt idx="10">
                  <c:v>ASHTABULA COUNTY DISTRICT LIBRARY</c:v>
                </c:pt>
                <c:pt idx="11">
                  <c:v>Athens County Public Libraries</c:v>
                </c:pt>
                <c:pt idx="12">
                  <c:v>AUGLAIZE COUNTY DISTRICT PUBLIC LIBRARY</c:v>
                </c:pt>
                <c:pt idx="13">
                  <c:v>AVON LAKE PUBLIC LIBRARY</c:v>
                </c:pt>
                <c:pt idx="14">
                  <c:v>BARBERTON PUBLIC LIBRARY</c:v>
                </c:pt>
                <c:pt idx="15">
                  <c:v>BARNESVILLE HUTTON MEMORIAL PUBLIC LIBRARY</c:v>
                </c:pt>
                <c:pt idx="16">
                  <c:v>BELLAIRE PUBLIC LIBRARY</c:v>
                </c:pt>
                <c:pt idx="17">
                  <c:v>BELLE CENTER FREE PUBLIC LIBRARY</c:v>
                </c:pt>
                <c:pt idx="18">
                  <c:v>BELLEVUE PUBLIC LIBRARY</c:v>
                </c:pt>
                <c:pt idx="19">
                  <c:v>BELMONT COUNTY DISTRICT LIBRARY</c:v>
                </c:pt>
                <c:pt idx="20">
                  <c:v>BETTSVILLE PUBLIC LIBRARY</c:v>
                </c:pt>
                <c:pt idx="21">
                  <c:v>BEXLEY PUBLIC LIBRARY</c:v>
                </c:pt>
                <c:pt idx="22">
                  <c:v>BIRCHARD PUBLIC LIBRARY OF SANDUSKY COUNTY</c:v>
                </c:pt>
                <c:pt idx="23">
                  <c:v>BLANCHESTER PUBLIC LIBRARY</c:v>
                </c:pt>
                <c:pt idx="24">
                  <c:v>BLISS MEMORIAL PUBLIC LIBRARY</c:v>
                </c:pt>
                <c:pt idx="25">
                  <c:v>BLUFFTON PUBLIC LIBRARY</c:v>
                </c:pt>
                <c:pt idx="26">
                  <c:v>BOWERSTON PUBLIC LIBRARY</c:v>
                </c:pt>
                <c:pt idx="27">
                  <c:v>BRADFORD PUBLIC LIBRARY</c:v>
                </c:pt>
                <c:pt idx="28">
                  <c:v>BRIGGS LAWRENCE COUNTY PUBLIC LIBRARY</c:v>
                </c:pt>
                <c:pt idx="29">
                  <c:v>BRISTOL PUBLIC LIBRARY</c:v>
                </c:pt>
                <c:pt idx="30">
                  <c:v>BROWN COUNTY PUBLIC LIBRARY</c:v>
                </c:pt>
                <c:pt idx="31">
                  <c:v>BROWN MEMORIAL LIBRARY</c:v>
                </c:pt>
                <c:pt idx="32">
                  <c:v>BRUMBACK LIBRARY</c:v>
                </c:pt>
                <c:pt idx="33">
                  <c:v>BUCYRUS PUBLIC LIBRARY</c:v>
                </c:pt>
                <c:pt idx="34">
                  <c:v>BURTON PUBLIC LIBRARY</c:v>
                </c:pt>
                <c:pt idx="35">
                  <c:v>CALDWELL PUBLIC LIBRARY</c:v>
                </c:pt>
                <c:pt idx="36">
                  <c:v>CANAL FULTON PUBLIC LIBRARY</c:v>
                </c:pt>
                <c:pt idx="37">
                  <c:v>CARDINGTON-LINCOLN PUBLIC LIBRARY</c:v>
                </c:pt>
                <c:pt idx="38">
                  <c:v>CARNEGIE PUBLIC LIBRARY - East Liverpool</c:v>
                </c:pt>
                <c:pt idx="39">
                  <c:v>CARNEGIE PUBLIC LIBRARY - Washington Court House</c:v>
                </c:pt>
                <c:pt idx="40">
                  <c:v>CARROLL COUNTY DISTRICT LIBRARY</c:v>
                </c:pt>
                <c:pt idx="41">
                  <c:v>CENTERBURG PUBLIC LIBRARY</c:v>
                </c:pt>
                <c:pt idx="42">
                  <c:v>CHAMPAIGN COUNTY LIBRARY</c:v>
                </c:pt>
                <c:pt idx="43">
                  <c:v>CHILLICOTHE AND ROSS COUNTY PUBLIC LIBRARY</c:v>
                </c:pt>
                <c:pt idx="44">
                  <c:v>CINCINNATI AND HAMILTON COUNTY PUBLIC LIBRARY</c:v>
                </c:pt>
                <c:pt idx="45">
                  <c:v>CLARK COUNTY PUBLIC LIBRARY</c:v>
                </c:pt>
                <c:pt idx="46">
                  <c:v>CLAYMONT SCHOOL DISTRICT PUBLIC LIBRARY</c:v>
                </c:pt>
                <c:pt idx="47">
                  <c:v>CLERMONT COUNTY PUBLIC LIBRARY</c:v>
                </c:pt>
                <c:pt idx="48">
                  <c:v>CLEVELAND HEIGHTS-UNIVERSITY HEIGHTS PL</c:v>
                </c:pt>
                <c:pt idx="49">
                  <c:v>Cleveland Public Library</c:v>
                </c:pt>
                <c:pt idx="50">
                  <c:v>CLYDE PUBLIC LIBRARY</c:v>
                </c:pt>
                <c:pt idx="51">
                  <c:v>COLDWATER PUBLIC LIBRARY</c:v>
                </c:pt>
                <c:pt idx="52">
                  <c:v>COLUMBIANA PUBLIC LIBRARY</c:v>
                </c:pt>
                <c:pt idx="53">
                  <c:v>Columbus Metropolitan Library</c:v>
                </c:pt>
                <c:pt idx="54">
                  <c:v>CONNEAUT PUBLIC LIBRARY</c:v>
                </c:pt>
                <c:pt idx="55">
                  <c:v>COSHOCTON PUBLIC LIBRARY</c:v>
                </c:pt>
                <c:pt idx="56">
                  <c:v>CRESTLINE PUBLIC LIBRARY</c:v>
                </c:pt>
                <c:pt idx="57">
                  <c:v>CUYAHOGA COUNTY PUBLIC LIBRARY</c:v>
                </c:pt>
                <c:pt idx="58">
                  <c:v>Cuyahoga Falls Library</c:v>
                </c:pt>
                <c:pt idx="59">
                  <c:v>Dayton Metro Library</c:v>
                </c:pt>
                <c:pt idx="60">
                  <c:v>DEFIANCE PUBLIC LIBRARY</c:v>
                </c:pt>
                <c:pt idx="61">
                  <c:v>DELAWARE COUNTY DISTRICT LIBRARY</c:v>
                </c:pt>
                <c:pt idx="62">
                  <c:v>DELPHOS PUBLIC LIBRARY</c:v>
                </c:pt>
                <c:pt idx="63">
                  <c:v>DELTA PUBLIC LIBRARY</c:v>
                </c:pt>
                <c:pt idx="64">
                  <c:v>DORCAS CAREY PUBLIC LIBRARY</c:v>
                </c:pt>
                <c:pt idx="65">
                  <c:v>DOVER PUBLIC LIBRARY</c:v>
                </c:pt>
                <c:pt idx="66">
                  <c:v>DR. EARL S. SLOAN LIBRARY</c:v>
                </c:pt>
                <c:pt idx="67">
                  <c:v>DR. SAMUEL L. BOSSARD MEMORIAL LIBRARY</c:v>
                </c:pt>
                <c:pt idx="68">
                  <c:v>EAST CLEVELAND PUBLIC LIBRARY</c:v>
                </c:pt>
                <c:pt idx="69">
                  <c:v>EAST PALESTINE MEMORIAL PUBLIC LIBRARY</c:v>
                </c:pt>
                <c:pt idx="70">
                  <c:v>ELYRIA PUBLIC LIBRARY</c:v>
                </c:pt>
                <c:pt idx="71">
                  <c:v>EUCLID PUBLIC LIBRARY</c:v>
                </c:pt>
                <c:pt idx="72">
                  <c:v>EVERGREEN COMMUNITY LIBRARY</c:v>
                </c:pt>
                <c:pt idx="73">
                  <c:v>FAIRFIELD COUNTY DISTRICT LIBRARY</c:v>
                </c:pt>
                <c:pt idx="74">
                  <c:v>FAIRPORT HARBOR PUBLIC LIBRARY</c:v>
                </c:pt>
                <c:pt idx="75">
                  <c:v>FINDLAY HANCOCK CNTY DIST PUBLIC LIBRARY</c:v>
                </c:pt>
                <c:pt idx="76">
                  <c:v>FOREST-JACKSON PUBLIC LIBRARY</c:v>
                </c:pt>
                <c:pt idx="77">
                  <c:v>FORT RECOVERY PUBLIC LIBRARY</c:v>
                </c:pt>
                <c:pt idx="78">
                  <c:v>FRANKLIN-SPRINGBORO PUBLIC LIBRARY</c:v>
                </c:pt>
                <c:pt idx="79">
                  <c:v>GALION PUBLIC LIBRARY ASSOCIATION</c:v>
                </c:pt>
                <c:pt idx="80">
                  <c:v>GARNET A. WILSON PL OF PIKE CO</c:v>
                </c:pt>
                <c:pt idx="81">
                  <c:v>GEAUGA COUNTY PUBLIC LIBRARY</c:v>
                </c:pt>
                <c:pt idx="82">
                  <c:v>GERMANTOWN PUBLIC LIBRARY</c:v>
                </c:pt>
                <c:pt idx="83">
                  <c:v>GIRARD FREE LIBRARY</c:v>
                </c:pt>
                <c:pt idx="84">
                  <c:v>GNADENHUTTEN PUBLIC LIBRARY</c:v>
                </c:pt>
                <c:pt idx="85">
                  <c:v>GRAFTON/MIDVIEW PUBLIC LIBRARY</c:v>
                </c:pt>
                <c:pt idx="86">
                  <c:v>GRAND VALLEY PUBLIC LIBRARY</c:v>
                </c:pt>
                <c:pt idx="87">
                  <c:v>GRANDVIEW HEIGHTS PUBLIC LIBRARY</c:v>
                </c:pt>
                <c:pt idx="88">
                  <c:v>GRANVILLE PUBLIC LIBRARY</c:v>
                </c:pt>
                <c:pt idx="89">
                  <c:v>GREENE COUNTY PUBLIC LIBRARY</c:v>
                </c:pt>
                <c:pt idx="90">
                  <c:v>GREENVILLE PUBLIC LIBRARY</c:v>
                </c:pt>
                <c:pt idx="91">
                  <c:v>GUERNSEY COUNTY DISTRICT PUBLIC LIBRARY</c:v>
                </c:pt>
                <c:pt idx="92">
                  <c:v>HARBOR-TOPKY MEMORIAL LIBRARY</c:v>
                </c:pt>
                <c:pt idx="93">
                  <c:v>HARDIN NORTHERN PUBLIC LIBRARY</c:v>
                </c:pt>
                <c:pt idx="94">
                  <c:v>HARRIS-ELMORE PUBLIC LIBRARY</c:v>
                </c:pt>
                <c:pt idx="95">
                  <c:v>HENDERSON MEMORIAL PUBLIC LIBRARY ASSOCIATION</c:v>
                </c:pt>
                <c:pt idx="96">
                  <c:v>HERBERT WESCOAT MEMORIAL LIBRARY</c:v>
                </c:pt>
                <c:pt idx="97">
                  <c:v>HERRICK MEMORIAL PUBLIC LIBRARY</c:v>
                </c:pt>
                <c:pt idx="98">
                  <c:v>HIGHLAND COUNTY DISTRICT LIBRARY</c:v>
                </c:pt>
                <c:pt idx="99">
                  <c:v>HOLGATE COMMUNITY LIBRARY</c:v>
                </c:pt>
                <c:pt idx="100">
                  <c:v>HOLMES COUNTY DISTRICT PUBLIC LIBRARY</c:v>
                </c:pt>
                <c:pt idx="101">
                  <c:v>HOMER PUBLIC LIBRARY</c:v>
                </c:pt>
                <c:pt idx="102">
                  <c:v>HUBBARD PUBLIC LIBRARY</c:v>
                </c:pt>
                <c:pt idx="103">
                  <c:v>HUDSON LIBRARY AND HISTORICAL SOCIETY</c:v>
                </c:pt>
                <c:pt idx="104">
                  <c:v>HURON COUNTY COMMUNITY LIBRARY</c:v>
                </c:pt>
                <c:pt idx="105">
                  <c:v>HURON PUBLIC LIBRARY</c:v>
                </c:pt>
                <c:pt idx="106">
                  <c:v>HURT/BATTELLE MEMORIAL LIBRARY/WEST JEFFERSON</c:v>
                </c:pt>
                <c:pt idx="107">
                  <c:v>IDA RUPP PUBLIC LIBRARY</c:v>
                </c:pt>
                <c:pt idx="108">
                  <c:v>J.R. CLARKE PUBLIC LIBRARY</c:v>
                </c:pt>
                <c:pt idx="109">
                  <c:v>JACKSON CITY LIBRARY</c:v>
                </c:pt>
                <c:pt idx="110">
                  <c:v>KATE LOVE SIMPSON-MORGAN COUNTY LIBRARY</c:v>
                </c:pt>
                <c:pt idx="111">
                  <c:v>KAUBISCH MEMORIAL PUBLIC LIBRARY</c:v>
                </c:pt>
                <c:pt idx="112">
                  <c:v>KENT FREE LIBRARY</c:v>
                </c:pt>
                <c:pt idx="113">
                  <c:v>KINGSVILLE PUBLIC LIBRARY</c:v>
                </c:pt>
                <c:pt idx="114">
                  <c:v>KINSMAN FREE PUBLIC LIBRARY</c:v>
                </c:pt>
                <c:pt idx="115">
                  <c:v>KIRTLAND PUBLIC LIBRARY</c:v>
                </c:pt>
                <c:pt idx="116">
                  <c:v>LAKEWOOD PUBLIC LIBRARY</c:v>
                </c:pt>
                <c:pt idx="117">
                  <c:v>LANE PUBLIC LIBRARY</c:v>
                </c:pt>
                <c:pt idx="118">
                  <c:v>LEBANON PUBLIC LIBRARY</c:v>
                </c:pt>
                <c:pt idx="119">
                  <c:v>LEETONIA COMMUNITY PUBLIC LIBRARY</c:v>
                </c:pt>
                <c:pt idx="120">
                  <c:v>LEPPER LIBRARY</c:v>
                </c:pt>
                <c:pt idx="121">
                  <c:v>LIBERTY CENTER PUBLIC LIBRARY</c:v>
                </c:pt>
                <c:pt idx="122">
                  <c:v>LICKING COUNTY LIBRARY</c:v>
                </c:pt>
                <c:pt idx="123">
                  <c:v>LIMA PUBLIC LIBRARY</c:v>
                </c:pt>
                <c:pt idx="124">
                  <c:v>LOGAN COUNTY DISTRICT LIBRARY</c:v>
                </c:pt>
                <c:pt idx="125">
                  <c:v>LOGAN-HOCKING COUNTY DISTRICT LIBRARY</c:v>
                </c:pt>
                <c:pt idx="126">
                  <c:v>LONDON PUBLIC LIBRARY</c:v>
                </c:pt>
                <c:pt idx="127">
                  <c:v>LORAIN PUBLIC LIBRARY</c:v>
                </c:pt>
                <c:pt idx="128">
                  <c:v>LOUDONVILLE PUBLIC LIBRARY</c:v>
                </c:pt>
                <c:pt idx="129">
                  <c:v>LOUISVILLE PUBLIC LIBRARY</c:v>
                </c:pt>
                <c:pt idx="130">
                  <c:v>MADISON PUBLIC LIBRARY</c:v>
                </c:pt>
                <c:pt idx="131">
                  <c:v>MANSFIELD-RICHLAND COUNTY PUBLIC LIBRARY</c:v>
                </c:pt>
                <c:pt idx="132">
                  <c:v>MARION LAWRENCE MEMORIAL LIBRARY</c:v>
                </c:pt>
                <c:pt idx="133">
                  <c:v>MARION PUBLIC LIBRARY</c:v>
                </c:pt>
                <c:pt idx="134">
                  <c:v>MARVIN MEMORIAL LIBRARY</c:v>
                </c:pt>
                <c:pt idx="135">
                  <c:v>MARY L. COOK PUBLIC LIBRARY</c:v>
                </c:pt>
                <c:pt idx="136">
                  <c:v>MARY LOU JOHNSON-HARDIN CNTY PL</c:v>
                </c:pt>
                <c:pt idx="137">
                  <c:v>MARYSVILLE  PUBLIC LIBRARY</c:v>
                </c:pt>
                <c:pt idx="138">
                  <c:v>MASON PUBLIC LIBRARY</c:v>
                </c:pt>
                <c:pt idx="139">
                  <c:v>MASSILLON PUBLIC LIBRARY</c:v>
                </c:pt>
                <c:pt idx="140">
                  <c:v>MCCOMB PUBLIC LIBRARY</c:v>
                </c:pt>
                <c:pt idx="141">
                  <c:v>MCKINLEY MEMORIAL LIBRARY</c:v>
                </c:pt>
                <c:pt idx="142">
                  <c:v>MECHANICSBURG PUBLIC LIBRARY</c:v>
                </c:pt>
                <c:pt idx="143">
                  <c:v>MEDINA COUNTY DISTRICT LIBRARY</c:v>
                </c:pt>
                <c:pt idx="144">
                  <c:v>MEIGS COUNTY DISTRICT PUBLIC LIBRARY</c:v>
                </c:pt>
                <c:pt idx="145">
                  <c:v>MENTOR PUBLIC LIBRARY</c:v>
                </c:pt>
                <c:pt idx="146">
                  <c:v>MERCER COUNTY DISTRICT PUBLIC LIBRARY</c:v>
                </c:pt>
                <c:pt idx="147">
                  <c:v>MIDPOINTE LIBRARY SYSTEM</c:v>
                </c:pt>
                <c:pt idx="148">
                  <c:v>MILAN-BERLIN LIBRARY DISTRICT</c:v>
                </c:pt>
                <c:pt idx="149">
                  <c:v>MILTON UNION PUBLIC LIBRARY</c:v>
                </c:pt>
                <c:pt idx="150">
                  <c:v>MINERVA PUBLIC LIBRARY</c:v>
                </c:pt>
                <c:pt idx="151">
                  <c:v>MOHAWK COMMUNITY LIBRARY</c:v>
                </c:pt>
                <c:pt idx="152">
                  <c:v>MONROE COUNTY DISTRICT LIBRARY</c:v>
                </c:pt>
                <c:pt idx="153">
                  <c:v>MONROEVILLE PUBLIC LIBRARY</c:v>
                </c:pt>
                <c:pt idx="154">
                  <c:v>MONTPELIER PUBLIC LIBRARY</c:v>
                </c:pt>
                <c:pt idx="155">
                  <c:v>MORLEY LIBRARY</c:v>
                </c:pt>
                <c:pt idx="156">
                  <c:v>MT GILEAD  PUBLIC LIBRARY</c:v>
                </c:pt>
                <c:pt idx="157">
                  <c:v>MT STERLING PUBLIC LIBRARY</c:v>
                </c:pt>
                <c:pt idx="158">
                  <c:v>MT VERNON &amp; KNOX COUNTY, PUBLIC LIBRARY OF</c:v>
                </c:pt>
                <c:pt idx="159">
                  <c:v>MUSKINGUM COUNTY LIBRARY SYSTEM</c:v>
                </c:pt>
                <c:pt idx="160">
                  <c:v>NAPOLEON PUBLIC LIBRARY</c:v>
                </c:pt>
                <c:pt idx="161">
                  <c:v>NEW CARLISLE PUBLIC LIBRARY</c:v>
                </c:pt>
                <c:pt idx="162">
                  <c:v>NEW LONDON PUBLIC LIBRARY</c:v>
                </c:pt>
                <c:pt idx="163">
                  <c:v>NEW MADISON PUBLIC LIBRARY</c:v>
                </c:pt>
                <c:pt idx="164">
                  <c:v>NEW STRAITSVILLE PUBLIC LIBRARY</c:v>
                </c:pt>
                <c:pt idx="165">
                  <c:v>NEWCOMERSTOWN PUBLIC LIBRARY</c:v>
                </c:pt>
                <c:pt idx="166">
                  <c:v>NEWTON FALLS PUBLIC LIBRARY</c:v>
                </c:pt>
                <c:pt idx="167">
                  <c:v>NORMAL MEMORIAL LIBRARY</c:v>
                </c:pt>
                <c:pt idx="168">
                  <c:v>NORTH BALTIMORE PUBLIC LIBRARY</c:v>
                </c:pt>
                <c:pt idx="169">
                  <c:v>NORTH CANTON PUBLIC LIBRARY</c:v>
                </c:pt>
                <c:pt idx="170">
                  <c:v>NORWALK PUBLIC LIBRARY</c:v>
                </c:pt>
                <c:pt idx="171">
                  <c:v>OAK HARBOR PUBLIC LIBRARY</c:v>
                </c:pt>
                <c:pt idx="172">
                  <c:v>OAK HILL PUBLIC LIBRARY</c:v>
                </c:pt>
                <c:pt idx="173">
                  <c:v>OBERLIN PUBLIC LIBRARY</c:v>
                </c:pt>
                <c:pt idx="174">
                  <c:v>ORRVILLE PUBLIC LIBRARY</c:v>
                </c:pt>
                <c:pt idx="175">
                  <c:v>PATASKALA PUBLIC LIBRARY</c:v>
                </c:pt>
                <c:pt idx="176">
                  <c:v>PATRICK HENRY SCHOOL DISTRICT PUBLIC LIBRARY</c:v>
                </c:pt>
                <c:pt idx="177">
                  <c:v>PAULDING COUNTY CARNEGIE LIBRARY</c:v>
                </c:pt>
                <c:pt idx="178">
                  <c:v>PEMBERVILLE PUBLIC LIBRARY</c:v>
                </c:pt>
                <c:pt idx="179">
                  <c:v>PENINSULA LIBRARY &amp; HISTORICAL SOCIETY</c:v>
                </c:pt>
                <c:pt idx="180">
                  <c:v>PERRY COOK MEMORIAL PUBLIC LIBRARY</c:v>
                </c:pt>
                <c:pt idx="181">
                  <c:v>PERRY COUNTY DISTRICT LIBRARY</c:v>
                </c:pt>
                <c:pt idx="182">
                  <c:v>PERRY PUBLIC LIBRARY</c:v>
                </c:pt>
                <c:pt idx="183">
                  <c:v>PICKAWAY COUNTY DISTRICT PUBLIC LIBRARY</c:v>
                </c:pt>
                <c:pt idx="184">
                  <c:v>PICKERINGTON PUBLIC LIBRARY</c:v>
                </c:pt>
                <c:pt idx="185">
                  <c:v>Piqua Public Library</c:v>
                </c:pt>
                <c:pt idx="186">
                  <c:v>PLAIN CITY PUBLIC LIBRARY</c:v>
                </c:pt>
                <c:pt idx="187">
                  <c:v>PORTAGE COUNTY DISTRICT LIBRARY</c:v>
                </c:pt>
                <c:pt idx="188">
                  <c:v>PORTSMOUTH PUBLIC LIBRARY</c:v>
                </c:pt>
                <c:pt idx="189">
                  <c:v>PREBLE COUNTY DISTRICT LIBRARY</c:v>
                </c:pt>
                <c:pt idx="190">
                  <c:v>PUSKARICH PUBLIC LIBRARY</c:v>
                </c:pt>
                <c:pt idx="191">
                  <c:v>PUTNAM COUNTY DISTRICT LIBRARY</c:v>
                </c:pt>
                <c:pt idx="192">
                  <c:v>REED MEMORIAL LIBRARY</c:v>
                </c:pt>
                <c:pt idx="193">
                  <c:v>RICHWOOD-NORTH UNION PUBLIC LIBRARY</c:v>
                </c:pt>
                <c:pt idx="194">
                  <c:v>RIDGEMONT PUBLIC LIBRARY</c:v>
                </c:pt>
                <c:pt idx="195">
                  <c:v>RITTER PUBLIC LIBRARY</c:v>
                </c:pt>
                <c:pt idx="196">
                  <c:v>ROCK CREEK PUBLIC LIBRARY</c:v>
                </c:pt>
                <c:pt idx="197">
                  <c:v>ROCKFORD CARNEGIE LIBRARY</c:v>
                </c:pt>
                <c:pt idx="198">
                  <c:v>ROCKY RIVER PUBLIC LIBRARY</c:v>
                </c:pt>
                <c:pt idx="199">
                  <c:v>RODMAN PUBLIC LIBRARY</c:v>
                </c:pt>
                <c:pt idx="200">
                  <c:v>ROSSFORD PUBLIC LIBRARY</c:v>
                </c:pt>
                <c:pt idx="201">
                  <c:v>SABINA PUBLIC LIBRARY</c:v>
                </c:pt>
                <c:pt idx="202">
                  <c:v>SALEM PUBLIC LIBRARY</c:v>
                </c:pt>
                <c:pt idx="203">
                  <c:v>SALEM TOWNSHIP PUBLIC LIBRARY</c:v>
                </c:pt>
                <c:pt idx="204">
                  <c:v>SANDUSKY LIBRARY</c:v>
                </c:pt>
                <c:pt idx="205">
                  <c:v>SELOVER PUBLIC LIBRARY</c:v>
                </c:pt>
                <c:pt idx="206">
                  <c:v>SENECA EAST PUBLIC LIBRARY</c:v>
                </c:pt>
                <c:pt idx="207">
                  <c:v>SHAKER HEIGHTS PUBLIC LIBRARY</c:v>
                </c:pt>
                <c:pt idx="208">
                  <c:v>SHELBY COUNTY LIBRARIES - AMOS MEMORIAL</c:v>
                </c:pt>
                <c:pt idx="209">
                  <c:v>SOUTHWEST PUBLIC LIBRARIES</c:v>
                </c:pt>
                <c:pt idx="210">
                  <c:v>ST. CLAIRSVILLE PUBLIC LIBRARY</c:v>
                </c:pt>
                <c:pt idx="211">
                  <c:v>ST. MARYS COMMUNITY PUBLIC LIBRARY</c:v>
                </c:pt>
                <c:pt idx="212">
                  <c:v>ST. PARIS PUBLIC LIBRARY</c:v>
                </c:pt>
                <c:pt idx="213">
                  <c:v>STARK COUNTY DISTRICT LIBRARY</c:v>
                </c:pt>
                <c:pt idx="214">
                  <c:v>STEUBENVILLE &amp; JEFFERSON COUNTY, PL OF</c:v>
                </c:pt>
                <c:pt idx="215">
                  <c:v>STOW-MUNROE FALLS PUBLIC LIBRARY</c:v>
                </c:pt>
                <c:pt idx="216">
                  <c:v>SUNBURY COMMUNITY LIBRARY</c:v>
                </c:pt>
                <c:pt idx="217">
                  <c:v>SWANTON PUBLIC LIBRARY</c:v>
                </c:pt>
                <c:pt idx="218">
                  <c:v>SYLVESTER MEMORIAL WELLSTON PUBLIC LIBRARY</c:v>
                </c:pt>
                <c:pt idx="219">
                  <c:v>TIFFIN-SENECA PUBLIC LIBRARY</c:v>
                </c:pt>
                <c:pt idx="220">
                  <c:v>TIPP CITY PUBLIC LIBRARY</c:v>
                </c:pt>
                <c:pt idx="221">
                  <c:v>Toledo-Lucas County Public Library</c:v>
                </c:pt>
                <c:pt idx="222">
                  <c:v>TROY-MIAMI COUNTY PUBLIC LIBRARY</c:v>
                </c:pt>
                <c:pt idx="223">
                  <c:v>TUSCARAWAS COUNTY PUBLIC LIBRARY</c:v>
                </c:pt>
                <c:pt idx="224">
                  <c:v>TWINSBURG PUBLIC LIBRARY</c:v>
                </c:pt>
                <c:pt idx="225">
                  <c:v>UNION TOWNSHIP PUBLIC LIBRARY</c:v>
                </c:pt>
                <c:pt idx="226">
                  <c:v>UPPER ARLINGTON PUBLIC LIBRARY</c:v>
                </c:pt>
                <c:pt idx="227">
                  <c:v>UPPER SANDUSKY COMMUNITY LIBRARY</c:v>
                </c:pt>
                <c:pt idx="228">
                  <c:v>WADSWORTH PUBLIC LIBRARY</c:v>
                </c:pt>
                <c:pt idx="229">
                  <c:v>WAGNALLS MEMORIAL LIBRARY</c:v>
                </c:pt>
                <c:pt idx="230">
                  <c:v>WARREN-TRUMBULL COUNTY PUBLIC LIBRARY</c:v>
                </c:pt>
                <c:pt idx="231">
                  <c:v>WASHINGTON COUNTY PUBLIC LIBRARY</c:v>
                </c:pt>
                <c:pt idx="232">
                  <c:v>WASHINGTON-CENTERVILLE PUBLIC LIBRARY</c:v>
                </c:pt>
                <c:pt idx="233">
                  <c:v>WAUSEON PUBLIC LIBRARY</c:v>
                </c:pt>
                <c:pt idx="234">
                  <c:v>WAY PUBLIC LIBRARY</c:v>
                </c:pt>
                <c:pt idx="235">
                  <c:v>WAYNE COUNTY PUBLIC LIBRARY</c:v>
                </c:pt>
                <c:pt idx="236">
                  <c:v>WAYNE PUBLIC LIBRARY</c:v>
                </c:pt>
                <c:pt idx="237">
                  <c:v>WELLSVILLE CARNEGIE PUBLIC LIBRARY</c:v>
                </c:pt>
                <c:pt idx="238">
                  <c:v>WESTERVILLE PUBLIC LIBRARY</c:v>
                </c:pt>
                <c:pt idx="239">
                  <c:v>WESTLAKE PORTER PUBLIC LIBRARY</c:v>
                </c:pt>
                <c:pt idx="240">
                  <c:v>WESTON PUBLIC LIBRARY</c:v>
                </c:pt>
                <c:pt idx="241">
                  <c:v>WICKLIFFE PUBLIC LIBRARY</c:v>
                </c:pt>
                <c:pt idx="242">
                  <c:v>WILLIAMS CO PUBLIC LIBRARY</c:v>
                </c:pt>
                <c:pt idx="243">
                  <c:v>WILLOUGHBY-EASTLAKE PUBLIC LIBRARY</c:v>
                </c:pt>
                <c:pt idx="244">
                  <c:v>WILMINGTON PUBLIC LIBRARY OF CLINTON COUNTY</c:v>
                </c:pt>
                <c:pt idx="245">
                  <c:v>WOOD COUNTY DISTRICT PUBLIC LIBRARY</c:v>
                </c:pt>
                <c:pt idx="246">
                  <c:v>WORCH MEMORIAL PUBLIC LIBRARY</c:v>
                </c:pt>
                <c:pt idx="247">
                  <c:v>WORNSTAFF MEMORIAL PUBLIC LIBRARY</c:v>
                </c:pt>
                <c:pt idx="248">
                  <c:v>WORTHINGTON PUBLIC LIBRARY</c:v>
                </c:pt>
                <c:pt idx="249">
                  <c:v>WRIGHT MEMORIAL PUBLIC LIBRARY</c:v>
                </c:pt>
                <c:pt idx="250">
                  <c:v>YOUNGSTOWN AND MAHONING COUNTY, PL OF</c:v>
                </c:pt>
              </c:strCache>
            </c:strRef>
          </c:cat>
          <c:val>
            <c:numRef>
              <c:f>Borrowers!$C$2:$C$252</c:f>
              <c:numCache>
                <c:formatCode>#,##0</c:formatCode>
                <c:ptCount val="251"/>
                <c:pt idx="0">
                  <c:v>724</c:v>
                </c:pt>
                <c:pt idx="1">
                  <c:v>3269</c:v>
                </c:pt>
                <c:pt idx="2">
                  <c:v>66608</c:v>
                </c:pt>
                <c:pt idx="3">
                  <c:v>1099</c:v>
                </c:pt>
                <c:pt idx="4">
                  <c:v>177</c:v>
                </c:pt>
                <c:pt idx="5">
                  <c:v>1959</c:v>
                </c:pt>
                <c:pt idx="6">
                  <c:v>677</c:v>
                </c:pt>
                <c:pt idx="7">
                  <c:v>824</c:v>
                </c:pt>
                <c:pt idx="8">
                  <c:v>614</c:v>
                </c:pt>
                <c:pt idx="9">
                  <c:v>3787</c:v>
                </c:pt>
                <c:pt idx="10">
                  <c:v>8475</c:v>
                </c:pt>
                <c:pt idx="11">
                  <c:v>6848</c:v>
                </c:pt>
                <c:pt idx="12">
                  <c:v>4937</c:v>
                </c:pt>
                <c:pt idx="13">
                  <c:v>5806</c:v>
                </c:pt>
                <c:pt idx="14">
                  <c:v>3983</c:v>
                </c:pt>
                <c:pt idx="15">
                  <c:v>1210</c:v>
                </c:pt>
                <c:pt idx="16">
                  <c:v>299</c:v>
                </c:pt>
                <c:pt idx="17">
                  <c:v>520</c:v>
                </c:pt>
                <c:pt idx="18">
                  <c:v>1851</c:v>
                </c:pt>
                <c:pt idx="19">
                  <c:v>1266</c:v>
                </c:pt>
                <c:pt idx="20">
                  <c:v>1801</c:v>
                </c:pt>
                <c:pt idx="21">
                  <c:v>3954</c:v>
                </c:pt>
                <c:pt idx="22">
                  <c:v>2398</c:v>
                </c:pt>
                <c:pt idx="23">
                  <c:v>2592</c:v>
                </c:pt>
                <c:pt idx="24">
                  <c:v>131</c:v>
                </c:pt>
                <c:pt idx="25">
                  <c:v>986</c:v>
                </c:pt>
                <c:pt idx="26">
                  <c:v>158</c:v>
                </c:pt>
                <c:pt idx="27">
                  <c:v>542</c:v>
                </c:pt>
                <c:pt idx="28">
                  <c:v>4188</c:v>
                </c:pt>
                <c:pt idx="29">
                  <c:v>595</c:v>
                </c:pt>
                <c:pt idx="30">
                  <c:v>3169</c:v>
                </c:pt>
                <c:pt idx="31">
                  <c:v>322</c:v>
                </c:pt>
                <c:pt idx="32">
                  <c:v>20558</c:v>
                </c:pt>
                <c:pt idx="33">
                  <c:v>6231</c:v>
                </c:pt>
                <c:pt idx="34">
                  <c:v>398</c:v>
                </c:pt>
                <c:pt idx="35">
                  <c:v>1471</c:v>
                </c:pt>
                <c:pt idx="36">
                  <c:v>1082</c:v>
                </c:pt>
                <c:pt idx="37">
                  <c:v>612</c:v>
                </c:pt>
                <c:pt idx="38">
                  <c:v>1123</c:v>
                </c:pt>
                <c:pt idx="39">
                  <c:v>1835</c:v>
                </c:pt>
                <c:pt idx="40">
                  <c:v>3387</c:v>
                </c:pt>
                <c:pt idx="41">
                  <c:v>984</c:v>
                </c:pt>
                <c:pt idx="42">
                  <c:v>4005</c:v>
                </c:pt>
                <c:pt idx="43">
                  <c:v>5094</c:v>
                </c:pt>
                <c:pt idx="44">
                  <c:v>114582</c:v>
                </c:pt>
                <c:pt idx="45">
                  <c:v>19128</c:v>
                </c:pt>
                <c:pt idx="46">
                  <c:v>1925</c:v>
                </c:pt>
                <c:pt idx="47">
                  <c:v>34622</c:v>
                </c:pt>
                <c:pt idx="48">
                  <c:v>7955</c:v>
                </c:pt>
                <c:pt idx="49">
                  <c:v>60157</c:v>
                </c:pt>
                <c:pt idx="50">
                  <c:v>1006</c:v>
                </c:pt>
                <c:pt idx="51">
                  <c:v>2300</c:v>
                </c:pt>
                <c:pt idx="52">
                  <c:v>1656</c:v>
                </c:pt>
                <c:pt idx="53">
                  <c:v>172555</c:v>
                </c:pt>
                <c:pt idx="54">
                  <c:v>1469</c:v>
                </c:pt>
                <c:pt idx="55">
                  <c:v>5600</c:v>
                </c:pt>
                <c:pt idx="56">
                  <c:v>4020</c:v>
                </c:pt>
                <c:pt idx="57">
                  <c:v>77948</c:v>
                </c:pt>
                <c:pt idx="58">
                  <c:v>3611</c:v>
                </c:pt>
                <c:pt idx="59">
                  <c:v>78626</c:v>
                </c:pt>
                <c:pt idx="60">
                  <c:v>3005</c:v>
                </c:pt>
                <c:pt idx="61">
                  <c:v>19885</c:v>
                </c:pt>
                <c:pt idx="62">
                  <c:v>1008</c:v>
                </c:pt>
                <c:pt idx="63">
                  <c:v>1722</c:v>
                </c:pt>
                <c:pt idx="64">
                  <c:v>2250</c:v>
                </c:pt>
                <c:pt idx="65">
                  <c:v>2601</c:v>
                </c:pt>
                <c:pt idx="66">
                  <c:v>54</c:v>
                </c:pt>
                <c:pt idx="67">
                  <c:v>3946</c:v>
                </c:pt>
                <c:pt idx="68">
                  <c:v>1830</c:v>
                </c:pt>
                <c:pt idx="69">
                  <c:v>835</c:v>
                </c:pt>
                <c:pt idx="70">
                  <c:v>4744</c:v>
                </c:pt>
                <c:pt idx="71">
                  <c:v>8265</c:v>
                </c:pt>
                <c:pt idx="72">
                  <c:v>2752</c:v>
                </c:pt>
                <c:pt idx="73">
                  <c:v>7169</c:v>
                </c:pt>
                <c:pt idx="74">
                  <c:v>859</c:v>
                </c:pt>
                <c:pt idx="75">
                  <c:v>3644</c:v>
                </c:pt>
                <c:pt idx="76">
                  <c:v>1698</c:v>
                </c:pt>
                <c:pt idx="77">
                  <c:v>514</c:v>
                </c:pt>
                <c:pt idx="78">
                  <c:v>2987</c:v>
                </c:pt>
                <c:pt idx="79">
                  <c:v>2042</c:v>
                </c:pt>
                <c:pt idx="80">
                  <c:v>1427</c:v>
                </c:pt>
                <c:pt idx="81">
                  <c:v>8270</c:v>
                </c:pt>
                <c:pt idx="82">
                  <c:v>2030</c:v>
                </c:pt>
                <c:pt idx="83">
                  <c:v>1548</c:v>
                </c:pt>
                <c:pt idx="84">
                  <c:v>173</c:v>
                </c:pt>
                <c:pt idx="85">
                  <c:v>1658</c:v>
                </c:pt>
                <c:pt idx="86">
                  <c:v>2665</c:v>
                </c:pt>
                <c:pt idx="87">
                  <c:v>1995</c:v>
                </c:pt>
                <c:pt idx="88">
                  <c:v>1710</c:v>
                </c:pt>
                <c:pt idx="89">
                  <c:v>19686</c:v>
                </c:pt>
                <c:pt idx="90">
                  <c:v>8500</c:v>
                </c:pt>
                <c:pt idx="91">
                  <c:v>5622</c:v>
                </c:pt>
                <c:pt idx="92">
                  <c:v>645</c:v>
                </c:pt>
                <c:pt idx="93">
                  <c:v>464</c:v>
                </c:pt>
                <c:pt idx="94">
                  <c:v>2652</c:v>
                </c:pt>
                <c:pt idx="95">
                  <c:v>817</c:v>
                </c:pt>
                <c:pt idx="96">
                  <c:v>488</c:v>
                </c:pt>
                <c:pt idx="97">
                  <c:v>2045</c:v>
                </c:pt>
                <c:pt idx="98">
                  <c:v>1954</c:v>
                </c:pt>
                <c:pt idx="99">
                  <c:v>210</c:v>
                </c:pt>
                <c:pt idx="100">
                  <c:v>3857</c:v>
                </c:pt>
                <c:pt idx="101">
                  <c:v>294</c:v>
                </c:pt>
                <c:pt idx="102">
                  <c:v>1569</c:v>
                </c:pt>
                <c:pt idx="103">
                  <c:v>3008</c:v>
                </c:pt>
                <c:pt idx="104">
                  <c:v>2381</c:v>
                </c:pt>
                <c:pt idx="105">
                  <c:v>973</c:v>
                </c:pt>
                <c:pt idx="106">
                  <c:v>1381</c:v>
                </c:pt>
                <c:pt idx="107">
                  <c:v>1484</c:v>
                </c:pt>
                <c:pt idx="108">
                  <c:v>832</c:v>
                </c:pt>
                <c:pt idx="109">
                  <c:v>1588</c:v>
                </c:pt>
                <c:pt idx="110">
                  <c:v>1355</c:v>
                </c:pt>
                <c:pt idx="111">
                  <c:v>1370</c:v>
                </c:pt>
                <c:pt idx="112">
                  <c:v>3211</c:v>
                </c:pt>
                <c:pt idx="113">
                  <c:v>802</c:v>
                </c:pt>
                <c:pt idx="114">
                  <c:v>580</c:v>
                </c:pt>
                <c:pt idx="115">
                  <c:v>874</c:v>
                </c:pt>
                <c:pt idx="116">
                  <c:v>6434</c:v>
                </c:pt>
                <c:pt idx="117">
                  <c:v>61032</c:v>
                </c:pt>
                <c:pt idx="118">
                  <c:v>0</c:v>
                </c:pt>
                <c:pt idx="119">
                  <c:v>1589</c:v>
                </c:pt>
                <c:pt idx="120">
                  <c:v>948</c:v>
                </c:pt>
                <c:pt idx="121">
                  <c:v>1439</c:v>
                </c:pt>
                <c:pt idx="122">
                  <c:v>8107</c:v>
                </c:pt>
                <c:pt idx="123">
                  <c:v>7955</c:v>
                </c:pt>
                <c:pt idx="124">
                  <c:v>1948</c:v>
                </c:pt>
                <c:pt idx="125">
                  <c:v>2928</c:v>
                </c:pt>
                <c:pt idx="126">
                  <c:v>2075</c:v>
                </c:pt>
                <c:pt idx="127">
                  <c:v>12734</c:v>
                </c:pt>
                <c:pt idx="128">
                  <c:v>1899</c:v>
                </c:pt>
                <c:pt idx="129">
                  <c:v>3582</c:v>
                </c:pt>
                <c:pt idx="130">
                  <c:v>2644</c:v>
                </c:pt>
                <c:pt idx="131">
                  <c:v>11972</c:v>
                </c:pt>
                <c:pt idx="132">
                  <c:v>80</c:v>
                </c:pt>
                <c:pt idx="133">
                  <c:v>2956</c:v>
                </c:pt>
                <c:pt idx="134">
                  <c:v>1868</c:v>
                </c:pt>
                <c:pt idx="135">
                  <c:v>2408</c:v>
                </c:pt>
                <c:pt idx="136">
                  <c:v>2785</c:v>
                </c:pt>
                <c:pt idx="137">
                  <c:v>6849</c:v>
                </c:pt>
                <c:pt idx="138">
                  <c:v>15100</c:v>
                </c:pt>
                <c:pt idx="139">
                  <c:v>3439</c:v>
                </c:pt>
                <c:pt idx="140">
                  <c:v>536</c:v>
                </c:pt>
                <c:pt idx="141">
                  <c:v>1215</c:v>
                </c:pt>
                <c:pt idx="142">
                  <c:v>369</c:v>
                </c:pt>
                <c:pt idx="143">
                  <c:v>16270</c:v>
                </c:pt>
                <c:pt idx="144">
                  <c:v>6930</c:v>
                </c:pt>
                <c:pt idx="145">
                  <c:v>5907</c:v>
                </c:pt>
                <c:pt idx="146">
                  <c:v>3155</c:v>
                </c:pt>
                <c:pt idx="147">
                  <c:v>69033</c:v>
                </c:pt>
                <c:pt idx="148">
                  <c:v>729</c:v>
                </c:pt>
                <c:pt idx="149">
                  <c:v>2076</c:v>
                </c:pt>
                <c:pt idx="150">
                  <c:v>2041</c:v>
                </c:pt>
                <c:pt idx="151">
                  <c:v>287</c:v>
                </c:pt>
                <c:pt idx="152">
                  <c:v>1418</c:v>
                </c:pt>
                <c:pt idx="153">
                  <c:v>766</c:v>
                </c:pt>
                <c:pt idx="154">
                  <c:v>464</c:v>
                </c:pt>
                <c:pt idx="155">
                  <c:v>2341</c:v>
                </c:pt>
                <c:pt idx="156">
                  <c:v>596</c:v>
                </c:pt>
                <c:pt idx="157">
                  <c:v>1750</c:v>
                </c:pt>
                <c:pt idx="158">
                  <c:v>10317</c:v>
                </c:pt>
                <c:pt idx="159">
                  <c:v>12361</c:v>
                </c:pt>
                <c:pt idx="160">
                  <c:v>5791</c:v>
                </c:pt>
                <c:pt idx="161">
                  <c:v>1777</c:v>
                </c:pt>
                <c:pt idx="162">
                  <c:v>556</c:v>
                </c:pt>
                <c:pt idx="163">
                  <c:v>550</c:v>
                </c:pt>
                <c:pt idx="164">
                  <c:v>73</c:v>
                </c:pt>
                <c:pt idx="165">
                  <c:v>1384</c:v>
                </c:pt>
                <c:pt idx="166">
                  <c:v>1002</c:v>
                </c:pt>
                <c:pt idx="167">
                  <c:v>308</c:v>
                </c:pt>
                <c:pt idx="168">
                  <c:v>1548</c:v>
                </c:pt>
                <c:pt idx="169">
                  <c:v>5981</c:v>
                </c:pt>
                <c:pt idx="170">
                  <c:v>1760</c:v>
                </c:pt>
                <c:pt idx="171">
                  <c:v>727</c:v>
                </c:pt>
                <c:pt idx="172">
                  <c:v>2498</c:v>
                </c:pt>
                <c:pt idx="173">
                  <c:v>2095</c:v>
                </c:pt>
                <c:pt idx="174">
                  <c:v>1875</c:v>
                </c:pt>
                <c:pt idx="175">
                  <c:v>858</c:v>
                </c:pt>
                <c:pt idx="176">
                  <c:v>1281</c:v>
                </c:pt>
                <c:pt idx="177">
                  <c:v>4715</c:v>
                </c:pt>
                <c:pt idx="178">
                  <c:v>1580</c:v>
                </c:pt>
                <c:pt idx="179">
                  <c:v>150</c:v>
                </c:pt>
                <c:pt idx="180">
                  <c:v>1342</c:v>
                </c:pt>
                <c:pt idx="181">
                  <c:v>8131</c:v>
                </c:pt>
                <c:pt idx="182">
                  <c:v>729</c:v>
                </c:pt>
                <c:pt idx="183">
                  <c:v>7143</c:v>
                </c:pt>
                <c:pt idx="184">
                  <c:v>3069</c:v>
                </c:pt>
                <c:pt idx="185">
                  <c:v>7109</c:v>
                </c:pt>
                <c:pt idx="186">
                  <c:v>2954</c:v>
                </c:pt>
                <c:pt idx="187">
                  <c:v>4871</c:v>
                </c:pt>
                <c:pt idx="188">
                  <c:v>8959</c:v>
                </c:pt>
                <c:pt idx="189">
                  <c:v>2421</c:v>
                </c:pt>
                <c:pt idx="190">
                  <c:v>1084</c:v>
                </c:pt>
                <c:pt idx="191">
                  <c:v>3234</c:v>
                </c:pt>
                <c:pt idx="192">
                  <c:v>3403</c:v>
                </c:pt>
                <c:pt idx="193">
                  <c:v>877</c:v>
                </c:pt>
                <c:pt idx="194">
                  <c:v>491</c:v>
                </c:pt>
                <c:pt idx="195">
                  <c:v>1521</c:v>
                </c:pt>
                <c:pt idx="196">
                  <c:v>558</c:v>
                </c:pt>
                <c:pt idx="197">
                  <c:v>319</c:v>
                </c:pt>
                <c:pt idx="198">
                  <c:v>2537</c:v>
                </c:pt>
                <c:pt idx="199">
                  <c:v>12143</c:v>
                </c:pt>
                <c:pt idx="200">
                  <c:v>2078</c:v>
                </c:pt>
                <c:pt idx="201">
                  <c:v>2687</c:v>
                </c:pt>
                <c:pt idx="202">
                  <c:v>3569</c:v>
                </c:pt>
                <c:pt idx="203">
                  <c:v>3451</c:v>
                </c:pt>
                <c:pt idx="204">
                  <c:v>3640</c:v>
                </c:pt>
                <c:pt idx="205">
                  <c:v>1532</c:v>
                </c:pt>
                <c:pt idx="206">
                  <c:v>441</c:v>
                </c:pt>
                <c:pt idx="207">
                  <c:v>5187</c:v>
                </c:pt>
                <c:pt idx="208">
                  <c:v>18125</c:v>
                </c:pt>
                <c:pt idx="209">
                  <c:v>19677</c:v>
                </c:pt>
                <c:pt idx="210">
                  <c:v>3746</c:v>
                </c:pt>
                <c:pt idx="211">
                  <c:v>887</c:v>
                </c:pt>
                <c:pt idx="212">
                  <c:v>1996</c:v>
                </c:pt>
                <c:pt idx="213">
                  <c:v>21245</c:v>
                </c:pt>
                <c:pt idx="214">
                  <c:v>7872</c:v>
                </c:pt>
                <c:pt idx="215">
                  <c:v>3194</c:v>
                </c:pt>
                <c:pt idx="216">
                  <c:v>0</c:v>
                </c:pt>
                <c:pt idx="217">
                  <c:v>3544</c:v>
                </c:pt>
                <c:pt idx="218">
                  <c:v>1989</c:v>
                </c:pt>
                <c:pt idx="219">
                  <c:v>2282</c:v>
                </c:pt>
                <c:pt idx="220">
                  <c:v>1762</c:v>
                </c:pt>
                <c:pt idx="221">
                  <c:v>63404</c:v>
                </c:pt>
                <c:pt idx="222">
                  <c:v>4860</c:v>
                </c:pt>
                <c:pt idx="223">
                  <c:v>9345</c:v>
                </c:pt>
                <c:pt idx="224">
                  <c:v>3766</c:v>
                </c:pt>
                <c:pt idx="225">
                  <c:v>757</c:v>
                </c:pt>
                <c:pt idx="226">
                  <c:v>3837</c:v>
                </c:pt>
                <c:pt idx="227">
                  <c:v>1332</c:v>
                </c:pt>
                <c:pt idx="228">
                  <c:v>3274</c:v>
                </c:pt>
                <c:pt idx="229">
                  <c:v>935</c:v>
                </c:pt>
                <c:pt idx="230">
                  <c:v>9743</c:v>
                </c:pt>
                <c:pt idx="231">
                  <c:v>4434</c:v>
                </c:pt>
                <c:pt idx="232">
                  <c:v>6430</c:v>
                </c:pt>
                <c:pt idx="233">
                  <c:v>388</c:v>
                </c:pt>
                <c:pt idx="234">
                  <c:v>5078</c:v>
                </c:pt>
                <c:pt idx="235">
                  <c:v>9987</c:v>
                </c:pt>
                <c:pt idx="236">
                  <c:v>2142</c:v>
                </c:pt>
                <c:pt idx="237">
                  <c:v>129</c:v>
                </c:pt>
                <c:pt idx="238">
                  <c:v>14485</c:v>
                </c:pt>
                <c:pt idx="239">
                  <c:v>2456</c:v>
                </c:pt>
                <c:pt idx="240">
                  <c:v>1673</c:v>
                </c:pt>
                <c:pt idx="241">
                  <c:v>1191</c:v>
                </c:pt>
                <c:pt idx="242">
                  <c:v>2559</c:v>
                </c:pt>
                <c:pt idx="243">
                  <c:v>3687</c:v>
                </c:pt>
                <c:pt idx="244">
                  <c:v>2564</c:v>
                </c:pt>
                <c:pt idx="245">
                  <c:v>7834</c:v>
                </c:pt>
                <c:pt idx="246">
                  <c:v>1971</c:v>
                </c:pt>
                <c:pt idx="247">
                  <c:v>379</c:v>
                </c:pt>
                <c:pt idx="248">
                  <c:v>18633</c:v>
                </c:pt>
                <c:pt idx="249">
                  <c:v>1972</c:v>
                </c:pt>
                <c:pt idx="250">
                  <c:v>34033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3B-451B-A4C5-2C3154A6D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9869071"/>
        <c:axId val="309875311"/>
      </c:barChart>
      <c:lineChart>
        <c:grouping val="standard"/>
        <c:varyColors val="0"/>
        <c:ser>
          <c:idx val="2"/>
          <c:order val="2"/>
          <c:tx>
            <c:strRef>
              <c:f>Borrowers!$D$1</c:f>
              <c:strCache>
                <c:ptCount val="1"/>
                <c:pt idx="0">
                  <c:v>1.27 Registered Borrowers Total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Borrowers!$A$2:$A$252</c:f>
              <c:strCache>
                <c:ptCount val="251"/>
                <c:pt idx="0">
                  <c:v>ADA PUBLIC SCHOOL DISTRICT LIBRARY</c:v>
                </c:pt>
                <c:pt idx="1">
                  <c:v>ADAMS COUNTY PUBLIC LIBRARY</c:v>
                </c:pt>
                <c:pt idx="2">
                  <c:v>AKRON-SUMMIT CNTY PUBLIC LIBRARY</c:v>
                </c:pt>
                <c:pt idx="3">
                  <c:v>ALEXANDRIA PUBLIC LIBRARY</c:v>
                </c:pt>
                <c:pt idx="4">
                  <c:v>ALGER PUBLIC LIBRARY</c:v>
                </c:pt>
                <c:pt idx="5">
                  <c:v>AMHERST PUBLIC LIBRARY</c:v>
                </c:pt>
                <c:pt idx="6">
                  <c:v>ANDOVER PUBLIC LIBRARY</c:v>
                </c:pt>
                <c:pt idx="7">
                  <c:v>ARCANUM PUBLIC LIBRARY</c:v>
                </c:pt>
                <c:pt idx="8">
                  <c:v>ARCHBOLD COMMUNITY LIBRARY</c:v>
                </c:pt>
                <c:pt idx="9">
                  <c:v>ASHLAND PUBLIC LIBRARY</c:v>
                </c:pt>
                <c:pt idx="10">
                  <c:v>ASHTABULA COUNTY DISTRICT LIBRARY</c:v>
                </c:pt>
                <c:pt idx="11">
                  <c:v>Athens County Public Libraries</c:v>
                </c:pt>
                <c:pt idx="12">
                  <c:v>AUGLAIZE COUNTY DISTRICT PUBLIC LIBRARY</c:v>
                </c:pt>
                <c:pt idx="13">
                  <c:v>AVON LAKE PUBLIC LIBRARY</c:v>
                </c:pt>
                <c:pt idx="14">
                  <c:v>BARBERTON PUBLIC LIBRARY</c:v>
                </c:pt>
                <c:pt idx="15">
                  <c:v>BARNESVILLE HUTTON MEMORIAL PUBLIC LIBRARY</c:v>
                </c:pt>
                <c:pt idx="16">
                  <c:v>BELLAIRE PUBLIC LIBRARY</c:v>
                </c:pt>
                <c:pt idx="17">
                  <c:v>BELLE CENTER FREE PUBLIC LIBRARY</c:v>
                </c:pt>
                <c:pt idx="18">
                  <c:v>BELLEVUE PUBLIC LIBRARY</c:v>
                </c:pt>
                <c:pt idx="19">
                  <c:v>BELMONT COUNTY DISTRICT LIBRARY</c:v>
                </c:pt>
                <c:pt idx="20">
                  <c:v>BETTSVILLE PUBLIC LIBRARY</c:v>
                </c:pt>
                <c:pt idx="21">
                  <c:v>BEXLEY PUBLIC LIBRARY</c:v>
                </c:pt>
                <c:pt idx="22">
                  <c:v>BIRCHARD PUBLIC LIBRARY OF SANDUSKY COUNTY</c:v>
                </c:pt>
                <c:pt idx="23">
                  <c:v>BLANCHESTER PUBLIC LIBRARY</c:v>
                </c:pt>
                <c:pt idx="24">
                  <c:v>BLISS MEMORIAL PUBLIC LIBRARY</c:v>
                </c:pt>
                <c:pt idx="25">
                  <c:v>BLUFFTON PUBLIC LIBRARY</c:v>
                </c:pt>
                <c:pt idx="26">
                  <c:v>BOWERSTON PUBLIC LIBRARY</c:v>
                </c:pt>
                <c:pt idx="27">
                  <c:v>BRADFORD PUBLIC LIBRARY</c:v>
                </c:pt>
                <c:pt idx="28">
                  <c:v>BRIGGS LAWRENCE COUNTY PUBLIC LIBRARY</c:v>
                </c:pt>
                <c:pt idx="29">
                  <c:v>BRISTOL PUBLIC LIBRARY</c:v>
                </c:pt>
                <c:pt idx="30">
                  <c:v>BROWN COUNTY PUBLIC LIBRARY</c:v>
                </c:pt>
                <c:pt idx="31">
                  <c:v>BROWN MEMORIAL LIBRARY</c:v>
                </c:pt>
                <c:pt idx="32">
                  <c:v>BRUMBACK LIBRARY</c:v>
                </c:pt>
                <c:pt idx="33">
                  <c:v>BUCYRUS PUBLIC LIBRARY</c:v>
                </c:pt>
                <c:pt idx="34">
                  <c:v>BURTON PUBLIC LIBRARY</c:v>
                </c:pt>
                <c:pt idx="35">
                  <c:v>CALDWELL PUBLIC LIBRARY</c:v>
                </c:pt>
                <c:pt idx="36">
                  <c:v>CANAL FULTON PUBLIC LIBRARY</c:v>
                </c:pt>
                <c:pt idx="37">
                  <c:v>CARDINGTON-LINCOLN PUBLIC LIBRARY</c:v>
                </c:pt>
                <c:pt idx="38">
                  <c:v>CARNEGIE PUBLIC LIBRARY - East Liverpool</c:v>
                </c:pt>
                <c:pt idx="39">
                  <c:v>CARNEGIE PUBLIC LIBRARY - Washington Court House</c:v>
                </c:pt>
                <c:pt idx="40">
                  <c:v>CARROLL COUNTY DISTRICT LIBRARY</c:v>
                </c:pt>
                <c:pt idx="41">
                  <c:v>CENTERBURG PUBLIC LIBRARY</c:v>
                </c:pt>
                <c:pt idx="42">
                  <c:v>CHAMPAIGN COUNTY LIBRARY</c:v>
                </c:pt>
                <c:pt idx="43">
                  <c:v>CHILLICOTHE AND ROSS COUNTY PUBLIC LIBRARY</c:v>
                </c:pt>
                <c:pt idx="44">
                  <c:v>CINCINNATI AND HAMILTON COUNTY PUBLIC LIBRARY</c:v>
                </c:pt>
                <c:pt idx="45">
                  <c:v>CLARK COUNTY PUBLIC LIBRARY</c:v>
                </c:pt>
                <c:pt idx="46">
                  <c:v>CLAYMONT SCHOOL DISTRICT PUBLIC LIBRARY</c:v>
                </c:pt>
                <c:pt idx="47">
                  <c:v>CLERMONT COUNTY PUBLIC LIBRARY</c:v>
                </c:pt>
                <c:pt idx="48">
                  <c:v>CLEVELAND HEIGHTS-UNIVERSITY HEIGHTS PL</c:v>
                </c:pt>
                <c:pt idx="49">
                  <c:v>Cleveland Public Library</c:v>
                </c:pt>
                <c:pt idx="50">
                  <c:v>CLYDE PUBLIC LIBRARY</c:v>
                </c:pt>
                <c:pt idx="51">
                  <c:v>COLDWATER PUBLIC LIBRARY</c:v>
                </c:pt>
                <c:pt idx="52">
                  <c:v>COLUMBIANA PUBLIC LIBRARY</c:v>
                </c:pt>
                <c:pt idx="53">
                  <c:v>Columbus Metropolitan Library</c:v>
                </c:pt>
                <c:pt idx="54">
                  <c:v>CONNEAUT PUBLIC LIBRARY</c:v>
                </c:pt>
                <c:pt idx="55">
                  <c:v>COSHOCTON PUBLIC LIBRARY</c:v>
                </c:pt>
                <c:pt idx="56">
                  <c:v>CRESTLINE PUBLIC LIBRARY</c:v>
                </c:pt>
                <c:pt idx="57">
                  <c:v>CUYAHOGA COUNTY PUBLIC LIBRARY</c:v>
                </c:pt>
                <c:pt idx="58">
                  <c:v>Cuyahoga Falls Library</c:v>
                </c:pt>
                <c:pt idx="59">
                  <c:v>Dayton Metro Library</c:v>
                </c:pt>
                <c:pt idx="60">
                  <c:v>DEFIANCE PUBLIC LIBRARY</c:v>
                </c:pt>
                <c:pt idx="61">
                  <c:v>DELAWARE COUNTY DISTRICT LIBRARY</c:v>
                </c:pt>
                <c:pt idx="62">
                  <c:v>DELPHOS PUBLIC LIBRARY</c:v>
                </c:pt>
                <c:pt idx="63">
                  <c:v>DELTA PUBLIC LIBRARY</c:v>
                </c:pt>
                <c:pt idx="64">
                  <c:v>DORCAS CAREY PUBLIC LIBRARY</c:v>
                </c:pt>
                <c:pt idx="65">
                  <c:v>DOVER PUBLIC LIBRARY</c:v>
                </c:pt>
                <c:pt idx="66">
                  <c:v>DR. EARL S. SLOAN LIBRARY</c:v>
                </c:pt>
                <c:pt idx="67">
                  <c:v>DR. SAMUEL L. BOSSARD MEMORIAL LIBRARY</c:v>
                </c:pt>
                <c:pt idx="68">
                  <c:v>EAST CLEVELAND PUBLIC LIBRARY</c:v>
                </c:pt>
                <c:pt idx="69">
                  <c:v>EAST PALESTINE MEMORIAL PUBLIC LIBRARY</c:v>
                </c:pt>
                <c:pt idx="70">
                  <c:v>ELYRIA PUBLIC LIBRARY</c:v>
                </c:pt>
                <c:pt idx="71">
                  <c:v>EUCLID PUBLIC LIBRARY</c:v>
                </c:pt>
                <c:pt idx="72">
                  <c:v>EVERGREEN COMMUNITY LIBRARY</c:v>
                </c:pt>
                <c:pt idx="73">
                  <c:v>FAIRFIELD COUNTY DISTRICT LIBRARY</c:v>
                </c:pt>
                <c:pt idx="74">
                  <c:v>FAIRPORT HARBOR PUBLIC LIBRARY</c:v>
                </c:pt>
                <c:pt idx="75">
                  <c:v>FINDLAY HANCOCK CNTY DIST PUBLIC LIBRARY</c:v>
                </c:pt>
                <c:pt idx="76">
                  <c:v>FOREST-JACKSON PUBLIC LIBRARY</c:v>
                </c:pt>
                <c:pt idx="77">
                  <c:v>FORT RECOVERY PUBLIC LIBRARY</c:v>
                </c:pt>
                <c:pt idx="78">
                  <c:v>FRANKLIN-SPRINGBORO PUBLIC LIBRARY</c:v>
                </c:pt>
                <c:pt idx="79">
                  <c:v>GALION PUBLIC LIBRARY ASSOCIATION</c:v>
                </c:pt>
                <c:pt idx="80">
                  <c:v>GARNET A. WILSON PL OF PIKE CO</c:v>
                </c:pt>
                <c:pt idx="81">
                  <c:v>GEAUGA COUNTY PUBLIC LIBRARY</c:v>
                </c:pt>
                <c:pt idx="82">
                  <c:v>GERMANTOWN PUBLIC LIBRARY</c:v>
                </c:pt>
                <c:pt idx="83">
                  <c:v>GIRARD FREE LIBRARY</c:v>
                </c:pt>
                <c:pt idx="84">
                  <c:v>GNADENHUTTEN PUBLIC LIBRARY</c:v>
                </c:pt>
                <c:pt idx="85">
                  <c:v>GRAFTON/MIDVIEW PUBLIC LIBRARY</c:v>
                </c:pt>
                <c:pt idx="86">
                  <c:v>GRAND VALLEY PUBLIC LIBRARY</c:v>
                </c:pt>
                <c:pt idx="87">
                  <c:v>GRANDVIEW HEIGHTS PUBLIC LIBRARY</c:v>
                </c:pt>
                <c:pt idx="88">
                  <c:v>GRANVILLE PUBLIC LIBRARY</c:v>
                </c:pt>
                <c:pt idx="89">
                  <c:v>GREENE COUNTY PUBLIC LIBRARY</c:v>
                </c:pt>
                <c:pt idx="90">
                  <c:v>GREENVILLE PUBLIC LIBRARY</c:v>
                </c:pt>
                <c:pt idx="91">
                  <c:v>GUERNSEY COUNTY DISTRICT PUBLIC LIBRARY</c:v>
                </c:pt>
                <c:pt idx="92">
                  <c:v>HARBOR-TOPKY MEMORIAL LIBRARY</c:v>
                </c:pt>
                <c:pt idx="93">
                  <c:v>HARDIN NORTHERN PUBLIC LIBRARY</c:v>
                </c:pt>
                <c:pt idx="94">
                  <c:v>HARRIS-ELMORE PUBLIC LIBRARY</c:v>
                </c:pt>
                <c:pt idx="95">
                  <c:v>HENDERSON MEMORIAL PUBLIC LIBRARY ASSOCIATION</c:v>
                </c:pt>
                <c:pt idx="96">
                  <c:v>HERBERT WESCOAT MEMORIAL LIBRARY</c:v>
                </c:pt>
                <c:pt idx="97">
                  <c:v>HERRICK MEMORIAL PUBLIC LIBRARY</c:v>
                </c:pt>
                <c:pt idx="98">
                  <c:v>HIGHLAND COUNTY DISTRICT LIBRARY</c:v>
                </c:pt>
                <c:pt idx="99">
                  <c:v>HOLGATE COMMUNITY LIBRARY</c:v>
                </c:pt>
                <c:pt idx="100">
                  <c:v>HOLMES COUNTY DISTRICT PUBLIC LIBRARY</c:v>
                </c:pt>
                <c:pt idx="101">
                  <c:v>HOMER PUBLIC LIBRARY</c:v>
                </c:pt>
                <c:pt idx="102">
                  <c:v>HUBBARD PUBLIC LIBRARY</c:v>
                </c:pt>
                <c:pt idx="103">
                  <c:v>HUDSON LIBRARY AND HISTORICAL SOCIETY</c:v>
                </c:pt>
                <c:pt idx="104">
                  <c:v>HURON COUNTY COMMUNITY LIBRARY</c:v>
                </c:pt>
                <c:pt idx="105">
                  <c:v>HURON PUBLIC LIBRARY</c:v>
                </c:pt>
                <c:pt idx="106">
                  <c:v>HURT/BATTELLE MEMORIAL LIBRARY/WEST JEFFERSON</c:v>
                </c:pt>
                <c:pt idx="107">
                  <c:v>IDA RUPP PUBLIC LIBRARY</c:v>
                </c:pt>
                <c:pt idx="108">
                  <c:v>J.R. CLARKE PUBLIC LIBRARY</c:v>
                </c:pt>
                <c:pt idx="109">
                  <c:v>JACKSON CITY LIBRARY</c:v>
                </c:pt>
                <c:pt idx="110">
                  <c:v>KATE LOVE SIMPSON-MORGAN COUNTY LIBRARY</c:v>
                </c:pt>
                <c:pt idx="111">
                  <c:v>KAUBISCH MEMORIAL PUBLIC LIBRARY</c:v>
                </c:pt>
                <c:pt idx="112">
                  <c:v>KENT FREE LIBRARY</c:v>
                </c:pt>
                <c:pt idx="113">
                  <c:v>KINGSVILLE PUBLIC LIBRARY</c:v>
                </c:pt>
                <c:pt idx="114">
                  <c:v>KINSMAN FREE PUBLIC LIBRARY</c:v>
                </c:pt>
                <c:pt idx="115">
                  <c:v>KIRTLAND PUBLIC LIBRARY</c:v>
                </c:pt>
                <c:pt idx="116">
                  <c:v>LAKEWOOD PUBLIC LIBRARY</c:v>
                </c:pt>
                <c:pt idx="117">
                  <c:v>LANE PUBLIC LIBRARY</c:v>
                </c:pt>
                <c:pt idx="118">
                  <c:v>LEBANON PUBLIC LIBRARY</c:v>
                </c:pt>
                <c:pt idx="119">
                  <c:v>LEETONIA COMMUNITY PUBLIC LIBRARY</c:v>
                </c:pt>
                <c:pt idx="120">
                  <c:v>LEPPER LIBRARY</c:v>
                </c:pt>
                <c:pt idx="121">
                  <c:v>LIBERTY CENTER PUBLIC LIBRARY</c:v>
                </c:pt>
                <c:pt idx="122">
                  <c:v>LICKING COUNTY LIBRARY</c:v>
                </c:pt>
                <c:pt idx="123">
                  <c:v>LIMA PUBLIC LIBRARY</c:v>
                </c:pt>
                <c:pt idx="124">
                  <c:v>LOGAN COUNTY DISTRICT LIBRARY</c:v>
                </c:pt>
                <c:pt idx="125">
                  <c:v>LOGAN-HOCKING COUNTY DISTRICT LIBRARY</c:v>
                </c:pt>
                <c:pt idx="126">
                  <c:v>LONDON PUBLIC LIBRARY</c:v>
                </c:pt>
                <c:pt idx="127">
                  <c:v>LORAIN PUBLIC LIBRARY</c:v>
                </c:pt>
                <c:pt idx="128">
                  <c:v>LOUDONVILLE PUBLIC LIBRARY</c:v>
                </c:pt>
                <c:pt idx="129">
                  <c:v>LOUISVILLE PUBLIC LIBRARY</c:v>
                </c:pt>
                <c:pt idx="130">
                  <c:v>MADISON PUBLIC LIBRARY</c:v>
                </c:pt>
                <c:pt idx="131">
                  <c:v>MANSFIELD-RICHLAND COUNTY PUBLIC LIBRARY</c:v>
                </c:pt>
                <c:pt idx="132">
                  <c:v>MARION LAWRENCE MEMORIAL LIBRARY</c:v>
                </c:pt>
                <c:pt idx="133">
                  <c:v>MARION PUBLIC LIBRARY</c:v>
                </c:pt>
                <c:pt idx="134">
                  <c:v>MARVIN MEMORIAL LIBRARY</c:v>
                </c:pt>
                <c:pt idx="135">
                  <c:v>MARY L. COOK PUBLIC LIBRARY</c:v>
                </c:pt>
                <c:pt idx="136">
                  <c:v>MARY LOU JOHNSON-HARDIN CNTY PL</c:v>
                </c:pt>
                <c:pt idx="137">
                  <c:v>MARYSVILLE  PUBLIC LIBRARY</c:v>
                </c:pt>
                <c:pt idx="138">
                  <c:v>MASON PUBLIC LIBRARY</c:v>
                </c:pt>
                <c:pt idx="139">
                  <c:v>MASSILLON PUBLIC LIBRARY</c:v>
                </c:pt>
                <c:pt idx="140">
                  <c:v>MCCOMB PUBLIC LIBRARY</c:v>
                </c:pt>
                <c:pt idx="141">
                  <c:v>MCKINLEY MEMORIAL LIBRARY</c:v>
                </c:pt>
                <c:pt idx="142">
                  <c:v>MECHANICSBURG PUBLIC LIBRARY</c:v>
                </c:pt>
                <c:pt idx="143">
                  <c:v>MEDINA COUNTY DISTRICT LIBRARY</c:v>
                </c:pt>
                <c:pt idx="144">
                  <c:v>MEIGS COUNTY DISTRICT PUBLIC LIBRARY</c:v>
                </c:pt>
                <c:pt idx="145">
                  <c:v>MENTOR PUBLIC LIBRARY</c:v>
                </c:pt>
                <c:pt idx="146">
                  <c:v>MERCER COUNTY DISTRICT PUBLIC LIBRARY</c:v>
                </c:pt>
                <c:pt idx="147">
                  <c:v>MIDPOINTE LIBRARY SYSTEM</c:v>
                </c:pt>
                <c:pt idx="148">
                  <c:v>MILAN-BERLIN LIBRARY DISTRICT</c:v>
                </c:pt>
                <c:pt idx="149">
                  <c:v>MILTON UNION PUBLIC LIBRARY</c:v>
                </c:pt>
                <c:pt idx="150">
                  <c:v>MINERVA PUBLIC LIBRARY</c:v>
                </c:pt>
                <c:pt idx="151">
                  <c:v>MOHAWK COMMUNITY LIBRARY</c:v>
                </c:pt>
                <c:pt idx="152">
                  <c:v>MONROE COUNTY DISTRICT LIBRARY</c:v>
                </c:pt>
                <c:pt idx="153">
                  <c:v>MONROEVILLE PUBLIC LIBRARY</c:v>
                </c:pt>
                <c:pt idx="154">
                  <c:v>MONTPELIER PUBLIC LIBRARY</c:v>
                </c:pt>
                <c:pt idx="155">
                  <c:v>MORLEY LIBRARY</c:v>
                </c:pt>
                <c:pt idx="156">
                  <c:v>MT GILEAD  PUBLIC LIBRARY</c:v>
                </c:pt>
                <c:pt idx="157">
                  <c:v>MT STERLING PUBLIC LIBRARY</c:v>
                </c:pt>
                <c:pt idx="158">
                  <c:v>MT VERNON &amp; KNOX COUNTY, PUBLIC LIBRARY OF</c:v>
                </c:pt>
                <c:pt idx="159">
                  <c:v>MUSKINGUM COUNTY LIBRARY SYSTEM</c:v>
                </c:pt>
                <c:pt idx="160">
                  <c:v>NAPOLEON PUBLIC LIBRARY</c:v>
                </c:pt>
                <c:pt idx="161">
                  <c:v>NEW CARLISLE PUBLIC LIBRARY</c:v>
                </c:pt>
                <c:pt idx="162">
                  <c:v>NEW LONDON PUBLIC LIBRARY</c:v>
                </c:pt>
                <c:pt idx="163">
                  <c:v>NEW MADISON PUBLIC LIBRARY</c:v>
                </c:pt>
                <c:pt idx="164">
                  <c:v>NEW STRAITSVILLE PUBLIC LIBRARY</c:v>
                </c:pt>
                <c:pt idx="165">
                  <c:v>NEWCOMERSTOWN PUBLIC LIBRARY</c:v>
                </c:pt>
                <c:pt idx="166">
                  <c:v>NEWTON FALLS PUBLIC LIBRARY</c:v>
                </c:pt>
                <c:pt idx="167">
                  <c:v>NORMAL MEMORIAL LIBRARY</c:v>
                </c:pt>
                <c:pt idx="168">
                  <c:v>NORTH BALTIMORE PUBLIC LIBRARY</c:v>
                </c:pt>
                <c:pt idx="169">
                  <c:v>NORTH CANTON PUBLIC LIBRARY</c:v>
                </c:pt>
                <c:pt idx="170">
                  <c:v>NORWALK PUBLIC LIBRARY</c:v>
                </c:pt>
                <c:pt idx="171">
                  <c:v>OAK HARBOR PUBLIC LIBRARY</c:v>
                </c:pt>
                <c:pt idx="172">
                  <c:v>OAK HILL PUBLIC LIBRARY</c:v>
                </c:pt>
                <c:pt idx="173">
                  <c:v>OBERLIN PUBLIC LIBRARY</c:v>
                </c:pt>
                <c:pt idx="174">
                  <c:v>ORRVILLE PUBLIC LIBRARY</c:v>
                </c:pt>
                <c:pt idx="175">
                  <c:v>PATASKALA PUBLIC LIBRARY</c:v>
                </c:pt>
                <c:pt idx="176">
                  <c:v>PATRICK HENRY SCHOOL DISTRICT PUBLIC LIBRARY</c:v>
                </c:pt>
                <c:pt idx="177">
                  <c:v>PAULDING COUNTY CARNEGIE LIBRARY</c:v>
                </c:pt>
                <c:pt idx="178">
                  <c:v>PEMBERVILLE PUBLIC LIBRARY</c:v>
                </c:pt>
                <c:pt idx="179">
                  <c:v>PENINSULA LIBRARY &amp; HISTORICAL SOCIETY</c:v>
                </c:pt>
                <c:pt idx="180">
                  <c:v>PERRY COOK MEMORIAL PUBLIC LIBRARY</c:v>
                </c:pt>
                <c:pt idx="181">
                  <c:v>PERRY COUNTY DISTRICT LIBRARY</c:v>
                </c:pt>
                <c:pt idx="182">
                  <c:v>PERRY PUBLIC LIBRARY</c:v>
                </c:pt>
                <c:pt idx="183">
                  <c:v>PICKAWAY COUNTY DISTRICT PUBLIC LIBRARY</c:v>
                </c:pt>
                <c:pt idx="184">
                  <c:v>PICKERINGTON PUBLIC LIBRARY</c:v>
                </c:pt>
                <c:pt idx="185">
                  <c:v>Piqua Public Library</c:v>
                </c:pt>
                <c:pt idx="186">
                  <c:v>PLAIN CITY PUBLIC LIBRARY</c:v>
                </c:pt>
                <c:pt idx="187">
                  <c:v>PORTAGE COUNTY DISTRICT LIBRARY</c:v>
                </c:pt>
                <c:pt idx="188">
                  <c:v>PORTSMOUTH PUBLIC LIBRARY</c:v>
                </c:pt>
                <c:pt idx="189">
                  <c:v>PREBLE COUNTY DISTRICT LIBRARY</c:v>
                </c:pt>
                <c:pt idx="190">
                  <c:v>PUSKARICH PUBLIC LIBRARY</c:v>
                </c:pt>
                <c:pt idx="191">
                  <c:v>PUTNAM COUNTY DISTRICT LIBRARY</c:v>
                </c:pt>
                <c:pt idx="192">
                  <c:v>REED MEMORIAL LIBRARY</c:v>
                </c:pt>
                <c:pt idx="193">
                  <c:v>RICHWOOD-NORTH UNION PUBLIC LIBRARY</c:v>
                </c:pt>
                <c:pt idx="194">
                  <c:v>RIDGEMONT PUBLIC LIBRARY</c:v>
                </c:pt>
                <c:pt idx="195">
                  <c:v>RITTER PUBLIC LIBRARY</c:v>
                </c:pt>
                <c:pt idx="196">
                  <c:v>ROCK CREEK PUBLIC LIBRARY</c:v>
                </c:pt>
                <c:pt idx="197">
                  <c:v>ROCKFORD CARNEGIE LIBRARY</c:v>
                </c:pt>
                <c:pt idx="198">
                  <c:v>ROCKY RIVER PUBLIC LIBRARY</c:v>
                </c:pt>
                <c:pt idx="199">
                  <c:v>RODMAN PUBLIC LIBRARY</c:v>
                </c:pt>
                <c:pt idx="200">
                  <c:v>ROSSFORD PUBLIC LIBRARY</c:v>
                </c:pt>
                <c:pt idx="201">
                  <c:v>SABINA PUBLIC LIBRARY</c:v>
                </c:pt>
                <c:pt idx="202">
                  <c:v>SALEM PUBLIC LIBRARY</c:v>
                </c:pt>
                <c:pt idx="203">
                  <c:v>SALEM TOWNSHIP PUBLIC LIBRARY</c:v>
                </c:pt>
                <c:pt idx="204">
                  <c:v>SANDUSKY LIBRARY</c:v>
                </c:pt>
                <c:pt idx="205">
                  <c:v>SELOVER PUBLIC LIBRARY</c:v>
                </c:pt>
                <c:pt idx="206">
                  <c:v>SENECA EAST PUBLIC LIBRARY</c:v>
                </c:pt>
                <c:pt idx="207">
                  <c:v>SHAKER HEIGHTS PUBLIC LIBRARY</c:v>
                </c:pt>
                <c:pt idx="208">
                  <c:v>SHELBY COUNTY LIBRARIES - AMOS MEMORIAL</c:v>
                </c:pt>
                <c:pt idx="209">
                  <c:v>SOUTHWEST PUBLIC LIBRARIES</c:v>
                </c:pt>
                <c:pt idx="210">
                  <c:v>ST. CLAIRSVILLE PUBLIC LIBRARY</c:v>
                </c:pt>
                <c:pt idx="211">
                  <c:v>ST. MARYS COMMUNITY PUBLIC LIBRARY</c:v>
                </c:pt>
                <c:pt idx="212">
                  <c:v>ST. PARIS PUBLIC LIBRARY</c:v>
                </c:pt>
                <c:pt idx="213">
                  <c:v>STARK COUNTY DISTRICT LIBRARY</c:v>
                </c:pt>
                <c:pt idx="214">
                  <c:v>STEUBENVILLE &amp; JEFFERSON COUNTY, PL OF</c:v>
                </c:pt>
                <c:pt idx="215">
                  <c:v>STOW-MUNROE FALLS PUBLIC LIBRARY</c:v>
                </c:pt>
                <c:pt idx="216">
                  <c:v>SUNBURY COMMUNITY LIBRARY</c:v>
                </c:pt>
                <c:pt idx="217">
                  <c:v>SWANTON PUBLIC LIBRARY</c:v>
                </c:pt>
                <c:pt idx="218">
                  <c:v>SYLVESTER MEMORIAL WELLSTON PUBLIC LIBRARY</c:v>
                </c:pt>
                <c:pt idx="219">
                  <c:v>TIFFIN-SENECA PUBLIC LIBRARY</c:v>
                </c:pt>
                <c:pt idx="220">
                  <c:v>TIPP CITY PUBLIC LIBRARY</c:v>
                </c:pt>
                <c:pt idx="221">
                  <c:v>Toledo-Lucas County Public Library</c:v>
                </c:pt>
                <c:pt idx="222">
                  <c:v>TROY-MIAMI COUNTY PUBLIC LIBRARY</c:v>
                </c:pt>
                <c:pt idx="223">
                  <c:v>TUSCARAWAS COUNTY PUBLIC LIBRARY</c:v>
                </c:pt>
                <c:pt idx="224">
                  <c:v>TWINSBURG PUBLIC LIBRARY</c:v>
                </c:pt>
                <c:pt idx="225">
                  <c:v>UNION TOWNSHIP PUBLIC LIBRARY</c:v>
                </c:pt>
                <c:pt idx="226">
                  <c:v>UPPER ARLINGTON PUBLIC LIBRARY</c:v>
                </c:pt>
                <c:pt idx="227">
                  <c:v>UPPER SANDUSKY COMMUNITY LIBRARY</c:v>
                </c:pt>
                <c:pt idx="228">
                  <c:v>WADSWORTH PUBLIC LIBRARY</c:v>
                </c:pt>
                <c:pt idx="229">
                  <c:v>WAGNALLS MEMORIAL LIBRARY</c:v>
                </c:pt>
                <c:pt idx="230">
                  <c:v>WARREN-TRUMBULL COUNTY PUBLIC LIBRARY</c:v>
                </c:pt>
                <c:pt idx="231">
                  <c:v>WASHINGTON COUNTY PUBLIC LIBRARY</c:v>
                </c:pt>
                <c:pt idx="232">
                  <c:v>WASHINGTON-CENTERVILLE PUBLIC LIBRARY</c:v>
                </c:pt>
                <c:pt idx="233">
                  <c:v>WAUSEON PUBLIC LIBRARY</c:v>
                </c:pt>
                <c:pt idx="234">
                  <c:v>WAY PUBLIC LIBRARY</c:v>
                </c:pt>
                <c:pt idx="235">
                  <c:v>WAYNE COUNTY PUBLIC LIBRARY</c:v>
                </c:pt>
                <c:pt idx="236">
                  <c:v>WAYNE PUBLIC LIBRARY</c:v>
                </c:pt>
                <c:pt idx="237">
                  <c:v>WELLSVILLE CARNEGIE PUBLIC LIBRARY</c:v>
                </c:pt>
                <c:pt idx="238">
                  <c:v>WESTERVILLE PUBLIC LIBRARY</c:v>
                </c:pt>
                <c:pt idx="239">
                  <c:v>WESTLAKE PORTER PUBLIC LIBRARY</c:v>
                </c:pt>
                <c:pt idx="240">
                  <c:v>WESTON PUBLIC LIBRARY</c:v>
                </c:pt>
                <c:pt idx="241">
                  <c:v>WICKLIFFE PUBLIC LIBRARY</c:v>
                </c:pt>
                <c:pt idx="242">
                  <c:v>WILLIAMS CO PUBLIC LIBRARY</c:v>
                </c:pt>
                <c:pt idx="243">
                  <c:v>WILLOUGHBY-EASTLAKE PUBLIC LIBRARY</c:v>
                </c:pt>
                <c:pt idx="244">
                  <c:v>WILMINGTON PUBLIC LIBRARY OF CLINTON COUNTY</c:v>
                </c:pt>
                <c:pt idx="245">
                  <c:v>WOOD COUNTY DISTRICT PUBLIC LIBRARY</c:v>
                </c:pt>
                <c:pt idx="246">
                  <c:v>WORCH MEMORIAL PUBLIC LIBRARY</c:v>
                </c:pt>
                <c:pt idx="247">
                  <c:v>WORNSTAFF MEMORIAL PUBLIC LIBRARY</c:v>
                </c:pt>
                <c:pt idx="248">
                  <c:v>WORTHINGTON PUBLIC LIBRARY</c:v>
                </c:pt>
                <c:pt idx="249">
                  <c:v>WRIGHT MEMORIAL PUBLIC LIBRARY</c:v>
                </c:pt>
                <c:pt idx="250">
                  <c:v>YOUNGSTOWN AND MAHONING COUNTY, PL OF</c:v>
                </c:pt>
              </c:strCache>
            </c:strRef>
          </c:cat>
          <c:val>
            <c:numRef>
              <c:f>Borrowers!$D$2:$D$252</c:f>
              <c:numCache>
                <c:formatCode>#,##0</c:formatCode>
                <c:ptCount val="251"/>
                <c:pt idx="0">
                  <c:v>3014</c:v>
                </c:pt>
                <c:pt idx="1">
                  <c:v>11453</c:v>
                </c:pt>
                <c:pt idx="2">
                  <c:v>306917</c:v>
                </c:pt>
                <c:pt idx="3">
                  <c:v>3590</c:v>
                </c:pt>
                <c:pt idx="4">
                  <c:v>776</c:v>
                </c:pt>
                <c:pt idx="5">
                  <c:v>12327</c:v>
                </c:pt>
                <c:pt idx="6">
                  <c:v>3649</c:v>
                </c:pt>
                <c:pt idx="7">
                  <c:v>3145</c:v>
                </c:pt>
                <c:pt idx="8">
                  <c:v>7783</c:v>
                </c:pt>
                <c:pt idx="9">
                  <c:v>13463</c:v>
                </c:pt>
                <c:pt idx="10">
                  <c:v>32058</c:v>
                </c:pt>
                <c:pt idx="11">
                  <c:v>43067</c:v>
                </c:pt>
                <c:pt idx="12">
                  <c:v>21422</c:v>
                </c:pt>
                <c:pt idx="13">
                  <c:v>32543</c:v>
                </c:pt>
                <c:pt idx="14">
                  <c:v>21379</c:v>
                </c:pt>
                <c:pt idx="15">
                  <c:v>5146</c:v>
                </c:pt>
                <c:pt idx="16">
                  <c:v>2907</c:v>
                </c:pt>
                <c:pt idx="17">
                  <c:v>1782</c:v>
                </c:pt>
                <c:pt idx="18">
                  <c:v>7362</c:v>
                </c:pt>
                <c:pt idx="19">
                  <c:v>7641</c:v>
                </c:pt>
                <c:pt idx="20">
                  <c:v>4470</c:v>
                </c:pt>
                <c:pt idx="21">
                  <c:v>26176</c:v>
                </c:pt>
                <c:pt idx="22">
                  <c:v>16091</c:v>
                </c:pt>
                <c:pt idx="23">
                  <c:v>11085</c:v>
                </c:pt>
                <c:pt idx="24">
                  <c:v>648</c:v>
                </c:pt>
                <c:pt idx="25">
                  <c:v>4043</c:v>
                </c:pt>
                <c:pt idx="26">
                  <c:v>970</c:v>
                </c:pt>
                <c:pt idx="27">
                  <c:v>5439</c:v>
                </c:pt>
                <c:pt idx="28">
                  <c:v>16813</c:v>
                </c:pt>
                <c:pt idx="29">
                  <c:v>3112</c:v>
                </c:pt>
                <c:pt idx="30">
                  <c:v>13238</c:v>
                </c:pt>
                <c:pt idx="31">
                  <c:v>1080</c:v>
                </c:pt>
                <c:pt idx="32">
                  <c:v>44674</c:v>
                </c:pt>
                <c:pt idx="33">
                  <c:v>15470</c:v>
                </c:pt>
                <c:pt idx="34">
                  <c:v>4309</c:v>
                </c:pt>
                <c:pt idx="35">
                  <c:v>4850</c:v>
                </c:pt>
                <c:pt idx="36">
                  <c:v>8434</c:v>
                </c:pt>
                <c:pt idx="37">
                  <c:v>1941</c:v>
                </c:pt>
                <c:pt idx="38">
                  <c:v>11287</c:v>
                </c:pt>
                <c:pt idx="39">
                  <c:v>9147</c:v>
                </c:pt>
                <c:pt idx="40">
                  <c:v>12548</c:v>
                </c:pt>
                <c:pt idx="41">
                  <c:v>4837</c:v>
                </c:pt>
                <c:pt idx="42">
                  <c:v>19194</c:v>
                </c:pt>
                <c:pt idx="43">
                  <c:v>23224</c:v>
                </c:pt>
                <c:pt idx="44">
                  <c:v>465558</c:v>
                </c:pt>
                <c:pt idx="45">
                  <c:v>78010</c:v>
                </c:pt>
                <c:pt idx="46">
                  <c:v>5979</c:v>
                </c:pt>
                <c:pt idx="47">
                  <c:v>127568</c:v>
                </c:pt>
                <c:pt idx="48">
                  <c:v>45389</c:v>
                </c:pt>
                <c:pt idx="49">
                  <c:v>285390</c:v>
                </c:pt>
                <c:pt idx="50">
                  <c:v>4472</c:v>
                </c:pt>
                <c:pt idx="51">
                  <c:v>11786</c:v>
                </c:pt>
                <c:pt idx="52">
                  <c:v>11815</c:v>
                </c:pt>
                <c:pt idx="53">
                  <c:v>626049</c:v>
                </c:pt>
                <c:pt idx="54">
                  <c:v>7666</c:v>
                </c:pt>
                <c:pt idx="55">
                  <c:v>15127</c:v>
                </c:pt>
                <c:pt idx="56">
                  <c:v>14060</c:v>
                </c:pt>
                <c:pt idx="57">
                  <c:v>735681</c:v>
                </c:pt>
                <c:pt idx="58">
                  <c:v>72475</c:v>
                </c:pt>
                <c:pt idx="59">
                  <c:v>389050</c:v>
                </c:pt>
                <c:pt idx="60">
                  <c:v>15258</c:v>
                </c:pt>
                <c:pt idx="61">
                  <c:v>104350</c:v>
                </c:pt>
                <c:pt idx="62">
                  <c:v>6387</c:v>
                </c:pt>
                <c:pt idx="63">
                  <c:v>6130</c:v>
                </c:pt>
                <c:pt idx="64">
                  <c:v>4973</c:v>
                </c:pt>
                <c:pt idx="65">
                  <c:v>14823</c:v>
                </c:pt>
                <c:pt idx="66">
                  <c:v>297</c:v>
                </c:pt>
                <c:pt idx="67">
                  <c:v>18700</c:v>
                </c:pt>
                <c:pt idx="68">
                  <c:v>9828</c:v>
                </c:pt>
                <c:pt idx="69">
                  <c:v>4142</c:v>
                </c:pt>
                <c:pt idx="70">
                  <c:v>31519</c:v>
                </c:pt>
                <c:pt idx="71">
                  <c:v>29414</c:v>
                </c:pt>
                <c:pt idx="72">
                  <c:v>6685</c:v>
                </c:pt>
                <c:pt idx="73">
                  <c:v>42104</c:v>
                </c:pt>
                <c:pt idx="74">
                  <c:v>3148</c:v>
                </c:pt>
                <c:pt idx="75">
                  <c:v>29062</c:v>
                </c:pt>
                <c:pt idx="76">
                  <c:v>2787</c:v>
                </c:pt>
                <c:pt idx="77">
                  <c:v>2177</c:v>
                </c:pt>
                <c:pt idx="78">
                  <c:v>15000</c:v>
                </c:pt>
                <c:pt idx="79">
                  <c:v>13385</c:v>
                </c:pt>
                <c:pt idx="80">
                  <c:v>9017</c:v>
                </c:pt>
                <c:pt idx="81">
                  <c:v>47446</c:v>
                </c:pt>
                <c:pt idx="82">
                  <c:v>11254</c:v>
                </c:pt>
                <c:pt idx="83">
                  <c:v>9413</c:v>
                </c:pt>
                <c:pt idx="84">
                  <c:v>773</c:v>
                </c:pt>
                <c:pt idx="85">
                  <c:v>5658</c:v>
                </c:pt>
                <c:pt idx="86">
                  <c:v>7602</c:v>
                </c:pt>
                <c:pt idx="87">
                  <c:v>17805</c:v>
                </c:pt>
                <c:pt idx="88">
                  <c:v>8030</c:v>
                </c:pt>
                <c:pt idx="89">
                  <c:v>99482</c:v>
                </c:pt>
                <c:pt idx="90">
                  <c:v>25500</c:v>
                </c:pt>
                <c:pt idx="91">
                  <c:v>15050</c:v>
                </c:pt>
                <c:pt idx="92">
                  <c:v>5255</c:v>
                </c:pt>
                <c:pt idx="93">
                  <c:v>1372</c:v>
                </c:pt>
                <c:pt idx="94">
                  <c:v>5489</c:v>
                </c:pt>
                <c:pt idx="95">
                  <c:v>6128</c:v>
                </c:pt>
                <c:pt idx="96">
                  <c:v>2724</c:v>
                </c:pt>
                <c:pt idx="97">
                  <c:v>7116</c:v>
                </c:pt>
                <c:pt idx="98">
                  <c:v>20895</c:v>
                </c:pt>
                <c:pt idx="99">
                  <c:v>786</c:v>
                </c:pt>
                <c:pt idx="100">
                  <c:v>16364</c:v>
                </c:pt>
                <c:pt idx="101">
                  <c:v>829</c:v>
                </c:pt>
                <c:pt idx="102">
                  <c:v>8106</c:v>
                </c:pt>
                <c:pt idx="103">
                  <c:v>23993</c:v>
                </c:pt>
                <c:pt idx="104">
                  <c:v>10428</c:v>
                </c:pt>
                <c:pt idx="105">
                  <c:v>6085</c:v>
                </c:pt>
                <c:pt idx="106">
                  <c:v>7682</c:v>
                </c:pt>
                <c:pt idx="107">
                  <c:v>10054</c:v>
                </c:pt>
                <c:pt idx="108">
                  <c:v>3105</c:v>
                </c:pt>
                <c:pt idx="109">
                  <c:v>7885</c:v>
                </c:pt>
                <c:pt idx="110">
                  <c:v>6196</c:v>
                </c:pt>
                <c:pt idx="111">
                  <c:v>8102</c:v>
                </c:pt>
                <c:pt idx="112">
                  <c:v>35345</c:v>
                </c:pt>
                <c:pt idx="113">
                  <c:v>3569</c:v>
                </c:pt>
                <c:pt idx="114">
                  <c:v>3443</c:v>
                </c:pt>
                <c:pt idx="115">
                  <c:v>3650</c:v>
                </c:pt>
                <c:pt idx="116">
                  <c:v>73300</c:v>
                </c:pt>
                <c:pt idx="117">
                  <c:v>207313</c:v>
                </c:pt>
                <c:pt idx="118">
                  <c:v>39991</c:v>
                </c:pt>
                <c:pt idx="119">
                  <c:v>6841</c:v>
                </c:pt>
                <c:pt idx="120">
                  <c:v>3728</c:v>
                </c:pt>
                <c:pt idx="121">
                  <c:v>2536</c:v>
                </c:pt>
                <c:pt idx="122">
                  <c:v>44066</c:v>
                </c:pt>
                <c:pt idx="123">
                  <c:v>32653</c:v>
                </c:pt>
                <c:pt idx="124">
                  <c:v>11408</c:v>
                </c:pt>
                <c:pt idx="125">
                  <c:v>25234</c:v>
                </c:pt>
                <c:pt idx="126">
                  <c:v>9885</c:v>
                </c:pt>
                <c:pt idx="127">
                  <c:v>63406</c:v>
                </c:pt>
                <c:pt idx="128">
                  <c:v>7212</c:v>
                </c:pt>
                <c:pt idx="129">
                  <c:v>11655</c:v>
                </c:pt>
                <c:pt idx="130">
                  <c:v>13268</c:v>
                </c:pt>
                <c:pt idx="131">
                  <c:v>64449</c:v>
                </c:pt>
                <c:pt idx="132">
                  <c:v>264</c:v>
                </c:pt>
                <c:pt idx="133">
                  <c:v>24688</c:v>
                </c:pt>
                <c:pt idx="134">
                  <c:v>5392</c:v>
                </c:pt>
                <c:pt idx="135">
                  <c:v>9614</c:v>
                </c:pt>
                <c:pt idx="136">
                  <c:v>13581</c:v>
                </c:pt>
                <c:pt idx="137">
                  <c:v>27663</c:v>
                </c:pt>
                <c:pt idx="138">
                  <c:v>60236</c:v>
                </c:pt>
                <c:pt idx="139">
                  <c:v>30604</c:v>
                </c:pt>
                <c:pt idx="140">
                  <c:v>2000</c:v>
                </c:pt>
                <c:pt idx="141">
                  <c:v>12854</c:v>
                </c:pt>
                <c:pt idx="142">
                  <c:v>1676</c:v>
                </c:pt>
                <c:pt idx="143">
                  <c:v>93554</c:v>
                </c:pt>
                <c:pt idx="144">
                  <c:v>27367</c:v>
                </c:pt>
                <c:pt idx="145">
                  <c:v>63047</c:v>
                </c:pt>
                <c:pt idx="146">
                  <c:v>10904</c:v>
                </c:pt>
                <c:pt idx="147">
                  <c:v>213756</c:v>
                </c:pt>
                <c:pt idx="148">
                  <c:v>3613</c:v>
                </c:pt>
                <c:pt idx="149">
                  <c:v>6861</c:v>
                </c:pt>
                <c:pt idx="150">
                  <c:v>5994</c:v>
                </c:pt>
                <c:pt idx="151">
                  <c:v>1517</c:v>
                </c:pt>
                <c:pt idx="152">
                  <c:v>4647</c:v>
                </c:pt>
                <c:pt idx="153">
                  <c:v>1991</c:v>
                </c:pt>
                <c:pt idx="154">
                  <c:v>2851</c:v>
                </c:pt>
                <c:pt idx="155">
                  <c:v>20438</c:v>
                </c:pt>
                <c:pt idx="156">
                  <c:v>2975</c:v>
                </c:pt>
                <c:pt idx="157">
                  <c:v>3542</c:v>
                </c:pt>
                <c:pt idx="158">
                  <c:v>51043</c:v>
                </c:pt>
                <c:pt idx="159">
                  <c:v>44706</c:v>
                </c:pt>
                <c:pt idx="160">
                  <c:v>10019</c:v>
                </c:pt>
                <c:pt idx="161">
                  <c:v>7319</c:v>
                </c:pt>
                <c:pt idx="162">
                  <c:v>2084</c:v>
                </c:pt>
                <c:pt idx="163">
                  <c:v>2150</c:v>
                </c:pt>
                <c:pt idx="164">
                  <c:v>716</c:v>
                </c:pt>
                <c:pt idx="165">
                  <c:v>4316</c:v>
                </c:pt>
                <c:pt idx="166">
                  <c:v>8274</c:v>
                </c:pt>
                <c:pt idx="167">
                  <c:v>1128</c:v>
                </c:pt>
                <c:pt idx="168">
                  <c:v>3721</c:v>
                </c:pt>
                <c:pt idx="169">
                  <c:v>32433</c:v>
                </c:pt>
                <c:pt idx="170">
                  <c:v>9058</c:v>
                </c:pt>
                <c:pt idx="171">
                  <c:v>3359</c:v>
                </c:pt>
                <c:pt idx="172">
                  <c:v>8954</c:v>
                </c:pt>
                <c:pt idx="173">
                  <c:v>12500</c:v>
                </c:pt>
                <c:pt idx="174">
                  <c:v>10528</c:v>
                </c:pt>
                <c:pt idx="175">
                  <c:v>5977</c:v>
                </c:pt>
                <c:pt idx="176">
                  <c:v>2526</c:v>
                </c:pt>
                <c:pt idx="177">
                  <c:v>16148</c:v>
                </c:pt>
                <c:pt idx="178">
                  <c:v>3539</c:v>
                </c:pt>
                <c:pt idx="179">
                  <c:v>1551</c:v>
                </c:pt>
                <c:pt idx="180">
                  <c:v>3048</c:v>
                </c:pt>
                <c:pt idx="181">
                  <c:v>20931</c:v>
                </c:pt>
                <c:pt idx="182">
                  <c:v>5190</c:v>
                </c:pt>
                <c:pt idx="183">
                  <c:v>19520</c:v>
                </c:pt>
                <c:pt idx="184">
                  <c:v>22382</c:v>
                </c:pt>
                <c:pt idx="185">
                  <c:v>37798</c:v>
                </c:pt>
                <c:pt idx="186">
                  <c:v>9157</c:v>
                </c:pt>
                <c:pt idx="187">
                  <c:v>27303</c:v>
                </c:pt>
                <c:pt idx="188">
                  <c:v>37330</c:v>
                </c:pt>
                <c:pt idx="189">
                  <c:v>13662</c:v>
                </c:pt>
                <c:pt idx="190">
                  <c:v>6075</c:v>
                </c:pt>
                <c:pt idx="191">
                  <c:v>8709</c:v>
                </c:pt>
                <c:pt idx="192">
                  <c:v>21513</c:v>
                </c:pt>
                <c:pt idx="193">
                  <c:v>3079</c:v>
                </c:pt>
                <c:pt idx="194">
                  <c:v>1205</c:v>
                </c:pt>
                <c:pt idx="195">
                  <c:v>10433</c:v>
                </c:pt>
                <c:pt idx="196">
                  <c:v>1819</c:v>
                </c:pt>
                <c:pt idx="197">
                  <c:v>1026</c:v>
                </c:pt>
                <c:pt idx="198">
                  <c:v>21832</c:v>
                </c:pt>
                <c:pt idx="199">
                  <c:v>28760</c:v>
                </c:pt>
                <c:pt idx="200">
                  <c:v>7246</c:v>
                </c:pt>
                <c:pt idx="201">
                  <c:v>9275</c:v>
                </c:pt>
                <c:pt idx="202">
                  <c:v>18497</c:v>
                </c:pt>
                <c:pt idx="203">
                  <c:v>10896</c:v>
                </c:pt>
                <c:pt idx="204">
                  <c:v>19964</c:v>
                </c:pt>
                <c:pt idx="205">
                  <c:v>3175</c:v>
                </c:pt>
                <c:pt idx="206">
                  <c:v>1409</c:v>
                </c:pt>
                <c:pt idx="207">
                  <c:v>26778</c:v>
                </c:pt>
                <c:pt idx="208">
                  <c:v>50563</c:v>
                </c:pt>
                <c:pt idx="209">
                  <c:v>82047</c:v>
                </c:pt>
                <c:pt idx="210">
                  <c:v>8425</c:v>
                </c:pt>
                <c:pt idx="211">
                  <c:v>5573</c:v>
                </c:pt>
                <c:pt idx="212">
                  <c:v>6189</c:v>
                </c:pt>
                <c:pt idx="213">
                  <c:v>102690</c:v>
                </c:pt>
                <c:pt idx="214">
                  <c:v>26554</c:v>
                </c:pt>
                <c:pt idx="215">
                  <c:v>24411</c:v>
                </c:pt>
                <c:pt idx="216">
                  <c:v>17245</c:v>
                </c:pt>
                <c:pt idx="217">
                  <c:v>14968</c:v>
                </c:pt>
                <c:pt idx="218">
                  <c:v>9969</c:v>
                </c:pt>
                <c:pt idx="219">
                  <c:v>12387</c:v>
                </c:pt>
                <c:pt idx="220">
                  <c:v>7006</c:v>
                </c:pt>
                <c:pt idx="221">
                  <c:v>264166</c:v>
                </c:pt>
                <c:pt idx="222">
                  <c:v>25211</c:v>
                </c:pt>
                <c:pt idx="223">
                  <c:v>27555</c:v>
                </c:pt>
                <c:pt idx="224">
                  <c:v>26056</c:v>
                </c:pt>
                <c:pt idx="225">
                  <c:v>4677</c:v>
                </c:pt>
                <c:pt idx="226">
                  <c:v>33912</c:v>
                </c:pt>
                <c:pt idx="227">
                  <c:v>6590</c:v>
                </c:pt>
                <c:pt idx="228">
                  <c:v>20460</c:v>
                </c:pt>
                <c:pt idx="229">
                  <c:v>7161</c:v>
                </c:pt>
                <c:pt idx="230">
                  <c:v>55399</c:v>
                </c:pt>
                <c:pt idx="231">
                  <c:v>27163</c:v>
                </c:pt>
                <c:pt idx="232">
                  <c:v>66231</c:v>
                </c:pt>
                <c:pt idx="233">
                  <c:v>5309</c:v>
                </c:pt>
                <c:pt idx="234">
                  <c:v>26899</c:v>
                </c:pt>
                <c:pt idx="235">
                  <c:v>46678</c:v>
                </c:pt>
                <c:pt idx="236">
                  <c:v>3442</c:v>
                </c:pt>
                <c:pt idx="237">
                  <c:v>3614</c:v>
                </c:pt>
                <c:pt idx="238">
                  <c:v>94829</c:v>
                </c:pt>
                <c:pt idx="239">
                  <c:v>26290</c:v>
                </c:pt>
                <c:pt idx="240">
                  <c:v>3145</c:v>
                </c:pt>
                <c:pt idx="241">
                  <c:v>8337</c:v>
                </c:pt>
                <c:pt idx="242">
                  <c:v>13388</c:v>
                </c:pt>
                <c:pt idx="243">
                  <c:v>27591</c:v>
                </c:pt>
                <c:pt idx="244">
                  <c:v>11276</c:v>
                </c:pt>
                <c:pt idx="245">
                  <c:v>26319</c:v>
                </c:pt>
                <c:pt idx="246">
                  <c:v>3381</c:v>
                </c:pt>
                <c:pt idx="247">
                  <c:v>1550</c:v>
                </c:pt>
                <c:pt idx="248">
                  <c:v>86217</c:v>
                </c:pt>
                <c:pt idx="249">
                  <c:v>14355</c:v>
                </c:pt>
                <c:pt idx="250">
                  <c:v>111121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3B-451B-A4C5-2C3154A6D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869071"/>
        <c:axId val="309875311"/>
      </c:lineChart>
      <c:catAx>
        <c:axId val="30986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75311"/>
        <c:crosses val="autoZero"/>
        <c:auto val="1"/>
        <c:lblAlgn val="ctr"/>
        <c:lblOffset val="100"/>
        <c:noMultiLvlLbl val="0"/>
      </c:catAx>
      <c:valAx>
        <c:axId val="3098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86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'Computer Users'!$B$1</c:f>
              <c:strCache>
                <c:ptCount val="1"/>
                <c:pt idx="0">
                  <c:v>2.30 Total Number of Internet Computers Used by General Public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'Computer Users'!$A$2:$A$252</c:f>
              <c:strCache>
                <c:ptCount val="251"/>
                <c:pt idx="0">
                  <c:v>ADA PUBLIC SCHOOL DISTRICT LIBRARY</c:v>
                </c:pt>
                <c:pt idx="1">
                  <c:v>ADAMS COUNTY PUBLIC LIBRARY</c:v>
                </c:pt>
                <c:pt idx="2">
                  <c:v>AKRON-SUMMIT CNTY PUBLIC LIBRARY</c:v>
                </c:pt>
                <c:pt idx="3">
                  <c:v>ALEXANDRIA PUBLIC LIBRARY</c:v>
                </c:pt>
                <c:pt idx="4">
                  <c:v>ALGER PUBLIC LIBRARY</c:v>
                </c:pt>
                <c:pt idx="5">
                  <c:v>AMHERST PUBLIC LIBRARY</c:v>
                </c:pt>
                <c:pt idx="6">
                  <c:v>ANDOVER PUBLIC LIBRARY</c:v>
                </c:pt>
                <c:pt idx="7">
                  <c:v>ARCANUM PUBLIC LIBRARY</c:v>
                </c:pt>
                <c:pt idx="8">
                  <c:v>ARCHBOLD COMMUNITY LIBRARY</c:v>
                </c:pt>
                <c:pt idx="9">
                  <c:v>ASHLAND PUBLIC LIBRARY</c:v>
                </c:pt>
                <c:pt idx="10">
                  <c:v>ASHTABULA COUNTY DISTRICT LIBRARY</c:v>
                </c:pt>
                <c:pt idx="11">
                  <c:v>Athens County Public Libraries</c:v>
                </c:pt>
                <c:pt idx="12">
                  <c:v>AUGLAIZE COUNTY DISTRICT PUBLIC LIBRARY</c:v>
                </c:pt>
                <c:pt idx="13">
                  <c:v>AVON LAKE PUBLIC LIBRARY</c:v>
                </c:pt>
                <c:pt idx="14">
                  <c:v>BARBERTON PUBLIC LIBRARY</c:v>
                </c:pt>
                <c:pt idx="15">
                  <c:v>BARNESVILLE HUTTON MEMORIAL PUBLIC LIBRARY</c:v>
                </c:pt>
                <c:pt idx="16">
                  <c:v>BELLAIRE PUBLIC LIBRARY</c:v>
                </c:pt>
                <c:pt idx="17">
                  <c:v>BELLE CENTER FREE PUBLIC LIBRARY</c:v>
                </c:pt>
                <c:pt idx="18">
                  <c:v>BELLEVUE PUBLIC LIBRARY</c:v>
                </c:pt>
                <c:pt idx="19">
                  <c:v>BELMONT COUNTY DISTRICT LIBRARY</c:v>
                </c:pt>
                <c:pt idx="20">
                  <c:v>BETTSVILLE PUBLIC LIBRARY</c:v>
                </c:pt>
                <c:pt idx="21">
                  <c:v>BEXLEY PUBLIC LIBRARY</c:v>
                </c:pt>
                <c:pt idx="22">
                  <c:v>BIRCHARD PUBLIC LIBRARY OF SANDUSKY COUNTY</c:v>
                </c:pt>
                <c:pt idx="23">
                  <c:v>BLANCHESTER PUBLIC LIBRARY</c:v>
                </c:pt>
                <c:pt idx="24">
                  <c:v>BLISS MEMORIAL PUBLIC LIBRARY</c:v>
                </c:pt>
                <c:pt idx="25">
                  <c:v>BLUFFTON PUBLIC LIBRARY</c:v>
                </c:pt>
                <c:pt idx="26">
                  <c:v>BOWERSTON PUBLIC LIBRARY</c:v>
                </c:pt>
                <c:pt idx="27">
                  <c:v>BRADFORD PUBLIC LIBRARY</c:v>
                </c:pt>
                <c:pt idx="28">
                  <c:v>BRIGGS LAWRENCE COUNTY PUBLIC LIBRARY</c:v>
                </c:pt>
                <c:pt idx="29">
                  <c:v>BRISTOL PUBLIC LIBRARY</c:v>
                </c:pt>
                <c:pt idx="30">
                  <c:v>BROWN COUNTY PUBLIC LIBRARY</c:v>
                </c:pt>
                <c:pt idx="31">
                  <c:v>BROWN MEMORIAL LIBRARY</c:v>
                </c:pt>
                <c:pt idx="32">
                  <c:v>BRUMBACK LIBRARY</c:v>
                </c:pt>
                <c:pt idx="33">
                  <c:v>BUCYRUS PUBLIC LIBRARY</c:v>
                </c:pt>
                <c:pt idx="34">
                  <c:v>BURTON PUBLIC LIBRARY</c:v>
                </c:pt>
                <c:pt idx="35">
                  <c:v>CALDWELL PUBLIC LIBRARY</c:v>
                </c:pt>
                <c:pt idx="36">
                  <c:v>CANAL FULTON PUBLIC LIBRARY</c:v>
                </c:pt>
                <c:pt idx="37">
                  <c:v>CARDINGTON-LINCOLN PUBLIC LIBRARY</c:v>
                </c:pt>
                <c:pt idx="38">
                  <c:v>CARNEGIE PUBLIC LIBRARY - East Liverpool</c:v>
                </c:pt>
                <c:pt idx="39">
                  <c:v>CARNEGIE PUBLIC LIBRARY - Washington Court House</c:v>
                </c:pt>
                <c:pt idx="40">
                  <c:v>CARROLL COUNTY DISTRICT LIBRARY</c:v>
                </c:pt>
                <c:pt idx="41">
                  <c:v>CENTERBURG PUBLIC LIBRARY</c:v>
                </c:pt>
                <c:pt idx="42">
                  <c:v>CHAMPAIGN COUNTY LIBRARY</c:v>
                </c:pt>
                <c:pt idx="43">
                  <c:v>CHILLICOTHE AND ROSS COUNTY PUBLIC LIBRARY</c:v>
                </c:pt>
                <c:pt idx="44">
                  <c:v>CINCINNATI AND HAMILTON COUNTY PUBLIC LIBRARY</c:v>
                </c:pt>
                <c:pt idx="45">
                  <c:v>CLARK COUNTY PUBLIC LIBRARY</c:v>
                </c:pt>
                <c:pt idx="46">
                  <c:v>CLAYMONT SCHOOL DISTRICT PUBLIC LIBRARY</c:v>
                </c:pt>
                <c:pt idx="47">
                  <c:v>CLERMONT COUNTY PUBLIC LIBRARY</c:v>
                </c:pt>
                <c:pt idx="48">
                  <c:v>CLEVELAND HEIGHTS-UNIVERSITY HEIGHTS PL</c:v>
                </c:pt>
                <c:pt idx="49">
                  <c:v>Cleveland Public Library</c:v>
                </c:pt>
                <c:pt idx="50">
                  <c:v>CLYDE PUBLIC LIBRARY</c:v>
                </c:pt>
                <c:pt idx="51">
                  <c:v>COLDWATER PUBLIC LIBRARY</c:v>
                </c:pt>
                <c:pt idx="52">
                  <c:v>COLUMBIANA PUBLIC LIBRARY</c:v>
                </c:pt>
                <c:pt idx="53">
                  <c:v>Columbus Metropolitan Library</c:v>
                </c:pt>
                <c:pt idx="54">
                  <c:v>CONNEAUT PUBLIC LIBRARY</c:v>
                </c:pt>
                <c:pt idx="55">
                  <c:v>COSHOCTON PUBLIC LIBRARY</c:v>
                </c:pt>
                <c:pt idx="56">
                  <c:v>CRESTLINE PUBLIC LIBRARY</c:v>
                </c:pt>
                <c:pt idx="57">
                  <c:v>CUYAHOGA COUNTY PUBLIC LIBRARY</c:v>
                </c:pt>
                <c:pt idx="58">
                  <c:v>Cuyahoga Falls Library</c:v>
                </c:pt>
                <c:pt idx="59">
                  <c:v>Dayton Metro Library</c:v>
                </c:pt>
                <c:pt idx="60">
                  <c:v>DEFIANCE PUBLIC LIBRARY</c:v>
                </c:pt>
                <c:pt idx="61">
                  <c:v>DELAWARE COUNTY DISTRICT LIBRARY</c:v>
                </c:pt>
                <c:pt idx="62">
                  <c:v>DELPHOS PUBLIC LIBRARY</c:v>
                </c:pt>
                <c:pt idx="63">
                  <c:v>DELTA PUBLIC LIBRARY</c:v>
                </c:pt>
                <c:pt idx="64">
                  <c:v>DORCAS CAREY PUBLIC LIBRARY</c:v>
                </c:pt>
                <c:pt idx="65">
                  <c:v>DOVER PUBLIC LIBRARY</c:v>
                </c:pt>
                <c:pt idx="66">
                  <c:v>DR. EARL S. SLOAN LIBRARY</c:v>
                </c:pt>
                <c:pt idx="67">
                  <c:v>DR. SAMUEL L. BOSSARD MEMORIAL LIBRARY</c:v>
                </c:pt>
                <c:pt idx="68">
                  <c:v>EAST CLEVELAND PUBLIC LIBRARY</c:v>
                </c:pt>
                <c:pt idx="69">
                  <c:v>EAST PALESTINE MEMORIAL PUBLIC LIBRARY</c:v>
                </c:pt>
                <c:pt idx="70">
                  <c:v>ELYRIA PUBLIC LIBRARY</c:v>
                </c:pt>
                <c:pt idx="71">
                  <c:v>EUCLID PUBLIC LIBRARY</c:v>
                </c:pt>
                <c:pt idx="72">
                  <c:v>EVERGREEN COMMUNITY LIBRARY</c:v>
                </c:pt>
                <c:pt idx="73">
                  <c:v>FAIRFIELD COUNTY DISTRICT LIBRARY</c:v>
                </c:pt>
                <c:pt idx="74">
                  <c:v>FAIRPORT HARBOR PUBLIC LIBRARY</c:v>
                </c:pt>
                <c:pt idx="75">
                  <c:v>FINDLAY HANCOCK CNTY DIST PUBLIC LIBRARY</c:v>
                </c:pt>
                <c:pt idx="76">
                  <c:v>FOREST-JACKSON PUBLIC LIBRARY</c:v>
                </c:pt>
                <c:pt idx="77">
                  <c:v>FORT RECOVERY PUBLIC LIBRARY</c:v>
                </c:pt>
                <c:pt idx="78">
                  <c:v>FRANKLIN-SPRINGBORO PUBLIC LIBRARY</c:v>
                </c:pt>
                <c:pt idx="79">
                  <c:v>GALION PUBLIC LIBRARY ASSOCIATION</c:v>
                </c:pt>
                <c:pt idx="80">
                  <c:v>GARNET A. WILSON PL OF PIKE CO</c:v>
                </c:pt>
                <c:pt idx="81">
                  <c:v>GEAUGA COUNTY PUBLIC LIBRARY</c:v>
                </c:pt>
                <c:pt idx="82">
                  <c:v>GERMANTOWN PUBLIC LIBRARY</c:v>
                </c:pt>
                <c:pt idx="83">
                  <c:v>GIRARD FREE LIBRARY</c:v>
                </c:pt>
                <c:pt idx="84">
                  <c:v>GNADENHUTTEN PUBLIC LIBRARY</c:v>
                </c:pt>
                <c:pt idx="85">
                  <c:v>GRAFTON/MIDVIEW PUBLIC LIBRARY</c:v>
                </c:pt>
                <c:pt idx="86">
                  <c:v>GRAND VALLEY PUBLIC LIBRARY</c:v>
                </c:pt>
                <c:pt idx="87">
                  <c:v>GRANDVIEW HEIGHTS PUBLIC LIBRARY</c:v>
                </c:pt>
                <c:pt idx="88">
                  <c:v>GRANVILLE PUBLIC LIBRARY</c:v>
                </c:pt>
                <c:pt idx="89">
                  <c:v>GREENE COUNTY PUBLIC LIBRARY</c:v>
                </c:pt>
                <c:pt idx="90">
                  <c:v>GREENVILLE PUBLIC LIBRARY</c:v>
                </c:pt>
                <c:pt idx="91">
                  <c:v>GUERNSEY COUNTY DISTRICT PUBLIC LIBRARY</c:v>
                </c:pt>
                <c:pt idx="92">
                  <c:v>HARBOR-TOPKY MEMORIAL LIBRARY</c:v>
                </c:pt>
                <c:pt idx="93">
                  <c:v>HARDIN NORTHERN PUBLIC LIBRARY</c:v>
                </c:pt>
                <c:pt idx="94">
                  <c:v>HARRIS-ELMORE PUBLIC LIBRARY</c:v>
                </c:pt>
                <c:pt idx="95">
                  <c:v>HENDERSON MEMORIAL PUBLIC LIBRARY ASSOCIATION</c:v>
                </c:pt>
                <c:pt idx="96">
                  <c:v>HERBERT WESCOAT MEMORIAL LIBRARY</c:v>
                </c:pt>
                <c:pt idx="97">
                  <c:v>HERRICK MEMORIAL PUBLIC LIBRARY</c:v>
                </c:pt>
                <c:pt idx="98">
                  <c:v>HIGHLAND COUNTY DISTRICT LIBRARY</c:v>
                </c:pt>
                <c:pt idx="99">
                  <c:v>HOLGATE COMMUNITY LIBRARY</c:v>
                </c:pt>
                <c:pt idx="100">
                  <c:v>HOLMES COUNTY DISTRICT PUBLIC LIBRARY</c:v>
                </c:pt>
                <c:pt idx="101">
                  <c:v>HOMER PUBLIC LIBRARY</c:v>
                </c:pt>
                <c:pt idx="102">
                  <c:v>HUBBARD PUBLIC LIBRARY</c:v>
                </c:pt>
                <c:pt idx="103">
                  <c:v>HUDSON LIBRARY AND HISTORICAL SOCIETY</c:v>
                </c:pt>
                <c:pt idx="104">
                  <c:v>HURON COUNTY COMMUNITY LIBRARY</c:v>
                </c:pt>
                <c:pt idx="105">
                  <c:v>HURON PUBLIC LIBRARY</c:v>
                </c:pt>
                <c:pt idx="106">
                  <c:v>HURT/BATTELLE MEMORIAL LIBRARY/WEST JEFFERSON</c:v>
                </c:pt>
                <c:pt idx="107">
                  <c:v>IDA RUPP PUBLIC LIBRARY</c:v>
                </c:pt>
                <c:pt idx="108">
                  <c:v>J.R. CLARKE PUBLIC LIBRARY</c:v>
                </c:pt>
                <c:pt idx="109">
                  <c:v>JACKSON CITY LIBRARY</c:v>
                </c:pt>
                <c:pt idx="110">
                  <c:v>KATE LOVE SIMPSON-MORGAN COUNTY LIBRARY</c:v>
                </c:pt>
                <c:pt idx="111">
                  <c:v>KAUBISCH MEMORIAL PUBLIC LIBRARY</c:v>
                </c:pt>
                <c:pt idx="112">
                  <c:v>KENT FREE LIBRARY</c:v>
                </c:pt>
                <c:pt idx="113">
                  <c:v>KINGSVILLE PUBLIC LIBRARY</c:v>
                </c:pt>
                <c:pt idx="114">
                  <c:v>KINSMAN FREE PUBLIC LIBRARY</c:v>
                </c:pt>
                <c:pt idx="115">
                  <c:v>KIRTLAND PUBLIC LIBRARY</c:v>
                </c:pt>
                <c:pt idx="116">
                  <c:v>LAKEWOOD PUBLIC LIBRARY</c:v>
                </c:pt>
                <c:pt idx="117">
                  <c:v>LANE PUBLIC LIBRARY</c:v>
                </c:pt>
                <c:pt idx="118">
                  <c:v>LEBANON PUBLIC LIBRARY</c:v>
                </c:pt>
                <c:pt idx="119">
                  <c:v>LEETONIA COMMUNITY PUBLIC LIBRARY</c:v>
                </c:pt>
                <c:pt idx="120">
                  <c:v>LEPPER LIBRARY</c:v>
                </c:pt>
                <c:pt idx="121">
                  <c:v>LIBERTY CENTER PUBLIC LIBRARY</c:v>
                </c:pt>
                <c:pt idx="122">
                  <c:v>LICKING COUNTY LIBRARY</c:v>
                </c:pt>
                <c:pt idx="123">
                  <c:v>LIMA PUBLIC LIBRARY</c:v>
                </c:pt>
                <c:pt idx="124">
                  <c:v>LOGAN COUNTY DISTRICT LIBRARY</c:v>
                </c:pt>
                <c:pt idx="125">
                  <c:v>LOGAN-HOCKING COUNTY DISTRICT LIBRARY</c:v>
                </c:pt>
                <c:pt idx="126">
                  <c:v>LONDON PUBLIC LIBRARY</c:v>
                </c:pt>
                <c:pt idx="127">
                  <c:v>LORAIN PUBLIC LIBRARY</c:v>
                </c:pt>
                <c:pt idx="128">
                  <c:v>LOUDONVILLE PUBLIC LIBRARY</c:v>
                </c:pt>
                <c:pt idx="129">
                  <c:v>LOUISVILLE PUBLIC LIBRARY</c:v>
                </c:pt>
                <c:pt idx="130">
                  <c:v>MADISON PUBLIC LIBRARY</c:v>
                </c:pt>
                <c:pt idx="131">
                  <c:v>MANSFIELD-RICHLAND COUNTY PUBLIC LIBRARY</c:v>
                </c:pt>
                <c:pt idx="132">
                  <c:v>MARION LAWRENCE MEMORIAL LIBRARY</c:v>
                </c:pt>
                <c:pt idx="133">
                  <c:v>MARION PUBLIC LIBRARY</c:v>
                </c:pt>
                <c:pt idx="134">
                  <c:v>MARVIN MEMORIAL LIBRARY</c:v>
                </c:pt>
                <c:pt idx="135">
                  <c:v>MARY L. COOK PUBLIC LIBRARY</c:v>
                </c:pt>
                <c:pt idx="136">
                  <c:v>MARY LOU JOHNSON-HARDIN CNTY PL</c:v>
                </c:pt>
                <c:pt idx="137">
                  <c:v>MARYSVILLE  PUBLIC LIBRARY</c:v>
                </c:pt>
                <c:pt idx="138">
                  <c:v>MASON PUBLIC LIBRARY</c:v>
                </c:pt>
                <c:pt idx="139">
                  <c:v>MASSILLON PUBLIC LIBRARY</c:v>
                </c:pt>
                <c:pt idx="140">
                  <c:v>MCCOMB PUBLIC LIBRARY</c:v>
                </c:pt>
                <c:pt idx="141">
                  <c:v>MCKINLEY MEMORIAL LIBRARY</c:v>
                </c:pt>
                <c:pt idx="142">
                  <c:v>MECHANICSBURG PUBLIC LIBRARY</c:v>
                </c:pt>
                <c:pt idx="143">
                  <c:v>MEDINA COUNTY DISTRICT LIBRARY</c:v>
                </c:pt>
                <c:pt idx="144">
                  <c:v>MEIGS COUNTY DISTRICT PUBLIC LIBRARY</c:v>
                </c:pt>
                <c:pt idx="145">
                  <c:v>MENTOR PUBLIC LIBRARY</c:v>
                </c:pt>
                <c:pt idx="146">
                  <c:v>MERCER COUNTY DISTRICT PUBLIC LIBRARY</c:v>
                </c:pt>
                <c:pt idx="147">
                  <c:v>MIDPOINTE LIBRARY SYSTEM</c:v>
                </c:pt>
                <c:pt idx="148">
                  <c:v>MILAN-BERLIN LIBRARY DISTRICT</c:v>
                </c:pt>
                <c:pt idx="149">
                  <c:v>MILTON UNION PUBLIC LIBRARY</c:v>
                </c:pt>
                <c:pt idx="150">
                  <c:v>MINERVA PUBLIC LIBRARY</c:v>
                </c:pt>
                <c:pt idx="151">
                  <c:v>MOHAWK COMMUNITY LIBRARY</c:v>
                </c:pt>
                <c:pt idx="152">
                  <c:v>MONROE COUNTY DISTRICT LIBRARY</c:v>
                </c:pt>
                <c:pt idx="153">
                  <c:v>MONROEVILLE PUBLIC LIBRARY</c:v>
                </c:pt>
                <c:pt idx="154">
                  <c:v>MONTPELIER PUBLIC LIBRARY</c:v>
                </c:pt>
                <c:pt idx="155">
                  <c:v>MORLEY LIBRARY</c:v>
                </c:pt>
                <c:pt idx="156">
                  <c:v>MT GILEAD  PUBLIC LIBRARY</c:v>
                </c:pt>
                <c:pt idx="157">
                  <c:v>MT STERLING PUBLIC LIBRARY</c:v>
                </c:pt>
                <c:pt idx="158">
                  <c:v>MT VERNON &amp; KNOX COUNTY, PUBLIC LIBRARY OF</c:v>
                </c:pt>
                <c:pt idx="159">
                  <c:v>MUSKINGUM COUNTY LIBRARY SYSTEM</c:v>
                </c:pt>
                <c:pt idx="160">
                  <c:v>NAPOLEON PUBLIC LIBRARY</c:v>
                </c:pt>
                <c:pt idx="161">
                  <c:v>NEW CARLISLE PUBLIC LIBRARY</c:v>
                </c:pt>
                <c:pt idx="162">
                  <c:v>NEW LONDON PUBLIC LIBRARY</c:v>
                </c:pt>
                <c:pt idx="163">
                  <c:v>NEW MADISON PUBLIC LIBRARY</c:v>
                </c:pt>
                <c:pt idx="164">
                  <c:v>NEW STRAITSVILLE PUBLIC LIBRARY</c:v>
                </c:pt>
                <c:pt idx="165">
                  <c:v>NEWCOMERSTOWN PUBLIC LIBRARY</c:v>
                </c:pt>
                <c:pt idx="166">
                  <c:v>NEWTON FALLS PUBLIC LIBRARY</c:v>
                </c:pt>
                <c:pt idx="167">
                  <c:v>NORMAL MEMORIAL LIBRARY</c:v>
                </c:pt>
                <c:pt idx="168">
                  <c:v>NORTH BALTIMORE PUBLIC LIBRARY</c:v>
                </c:pt>
                <c:pt idx="169">
                  <c:v>NORTH CANTON PUBLIC LIBRARY</c:v>
                </c:pt>
                <c:pt idx="170">
                  <c:v>NORWALK PUBLIC LIBRARY</c:v>
                </c:pt>
                <c:pt idx="171">
                  <c:v>OAK HARBOR PUBLIC LIBRARY</c:v>
                </c:pt>
                <c:pt idx="172">
                  <c:v>OAK HILL PUBLIC LIBRARY</c:v>
                </c:pt>
                <c:pt idx="173">
                  <c:v>OBERLIN PUBLIC LIBRARY</c:v>
                </c:pt>
                <c:pt idx="174">
                  <c:v>ORRVILLE PUBLIC LIBRARY</c:v>
                </c:pt>
                <c:pt idx="175">
                  <c:v>PATASKALA PUBLIC LIBRARY</c:v>
                </c:pt>
                <c:pt idx="176">
                  <c:v>PATRICK HENRY SCHOOL DISTRICT PUBLIC LIBRARY</c:v>
                </c:pt>
                <c:pt idx="177">
                  <c:v>PAULDING COUNTY CARNEGIE LIBRARY</c:v>
                </c:pt>
                <c:pt idx="178">
                  <c:v>PEMBERVILLE PUBLIC LIBRARY</c:v>
                </c:pt>
                <c:pt idx="179">
                  <c:v>PENINSULA LIBRARY &amp; HISTORICAL SOCIETY</c:v>
                </c:pt>
                <c:pt idx="180">
                  <c:v>PERRY COOK MEMORIAL PUBLIC LIBRARY</c:v>
                </c:pt>
                <c:pt idx="181">
                  <c:v>PERRY COUNTY DISTRICT LIBRARY</c:v>
                </c:pt>
                <c:pt idx="182">
                  <c:v>PERRY PUBLIC LIBRARY</c:v>
                </c:pt>
                <c:pt idx="183">
                  <c:v>PICKAWAY COUNTY DISTRICT PUBLIC LIBRARY</c:v>
                </c:pt>
                <c:pt idx="184">
                  <c:v>PICKERINGTON PUBLIC LIBRARY</c:v>
                </c:pt>
                <c:pt idx="185">
                  <c:v>Piqua Public Library</c:v>
                </c:pt>
                <c:pt idx="186">
                  <c:v>PLAIN CITY PUBLIC LIBRARY</c:v>
                </c:pt>
                <c:pt idx="187">
                  <c:v>PORTAGE COUNTY DISTRICT LIBRARY</c:v>
                </c:pt>
                <c:pt idx="188">
                  <c:v>PORTSMOUTH PUBLIC LIBRARY</c:v>
                </c:pt>
                <c:pt idx="189">
                  <c:v>PREBLE COUNTY DISTRICT LIBRARY</c:v>
                </c:pt>
                <c:pt idx="190">
                  <c:v>PUSKARICH PUBLIC LIBRARY</c:v>
                </c:pt>
                <c:pt idx="191">
                  <c:v>PUTNAM COUNTY DISTRICT LIBRARY</c:v>
                </c:pt>
                <c:pt idx="192">
                  <c:v>REED MEMORIAL LIBRARY</c:v>
                </c:pt>
                <c:pt idx="193">
                  <c:v>RICHWOOD-NORTH UNION PUBLIC LIBRARY</c:v>
                </c:pt>
                <c:pt idx="194">
                  <c:v>RIDGEMONT PUBLIC LIBRARY</c:v>
                </c:pt>
                <c:pt idx="195">
                  <c:v>RITTER PUBLIC LIBRARY</c:v>
                </c:pt>
                <c:pt idx="196">
                  <c:v>ROCK CREEK PUBLIC LIBRARY</c:v>
                </c:pt>
                <c:pt idx="197">
                  <c:v>ROCKFORD CARNEGIE LIBRARY</c:v>
                </c:pt>
                <c:pt idx="198">
                  <c:v>ROCKY RIVER PUBLIC LIBRARY</c:v>
                </c:pt>
                <c:pt idx="199">
                  <c:v>RODMAN PUBLIC LIBRARY</c:v>
                </c:pt>
                <c:pt idx="200">
                  <c:v>ROSSFORD PUBLIC LIBRARY</c:v>
                </c:pt>
                <c:pt idx="201">
                  <c:v>SABINA PUBLIC LIBRARY</c:v>
                </c:pt>
                <c:pt idx="202">
                  <c:v>SALEM PUBLIC LIBRARY</c:v>
                </c:pt>
                <c:pt idx="203">
                  <c:v>SALEM TOWNSHIP PUBLIC LIBRARY</c:v>
                </c:pt>
                <c:pt idx="204">
                  <c:v>SANDUSKY LIBRARY</c:v>
                </c:pt>
                <c:pt idx="205">
                  <c:v>SELOVER PUBLIC LIBRARY</c:v>
                </c:pt>
                <c:pt idx="206">
                  <c:v>SENECA EAST PUBLIC LIBRARY</c:v>
                </c:pt>
                <c:pt idx="207">
                  <c:v>SHAKER HEIGHTS PUBLIC LIBRARY</c:v>
                </c:pt>
                <c:pt idx="208">
                  <c:v>SHELBY COUNTY LIBRARIES - AMOS MEMORIAL</c:v>
                </c:pt>
                <c:pt idx="209">
                  <c:v>SOUTHWEST PUBLIC LIBRARIES</c:v>
                </c:pt>
                <c:pt idx="210">
                  <c:v>ST. CLAIRSVILLE PUBLIC LIBRARY</c:v>
                </c:pt>
                <c:pt idx="211">
                  <c:v>ST. MARYS COMMUNITY PUBLIC LIBRARY</c:v>
                </c:pt>
                <c:pt idx="212">
                  <c:v>ST. PARIS PUBLIC LIBRARY</c:v>
                </c:pt>
                <c:pt idx="213">
                  <c:v>STARK COUNTY DISTRICT LIBRARY</c:v>
                </c:pt>
                <c:pt idx="214">
                  <c:v>STEUBENVILLE &amp; JEFFERSON COUNTY, PL OF</c:v>
                </c:pt>
                <c:pt idx="215">
                  <c:v>STOW-MUNROE FALLS PUBLIC LIBRARY</c:v>
                </c:pt>
                <c:pt idx="216">
                  <c:v>SUNBURY COMMUNITY LIBRARY</c:v>
                </c:pt>
                <c:pt idx="217">
                  <c:v>SWANTON PUBLIC LIBRARY</c:v>
                </c:pt>
                <c:pt idx="218">
                  <c:v>SYLVESTER MEMORIAL WELLSTON PUBLIC LIBRARY</c:v>
                </c:pt>
                <c:pt idx="219">
                  <c:v>TIFFIN-SENECA PUBLIC LIBRARY</c:v>
                </c:pt>
                <c:pt idx="220">
                  <c:v>TIPP CITY PUBLIC LIBRARY</c:v>
                </c:pt>
                <c:pt idx="221">
                  <c:v>Toledo-Lucas County Public Library</c:v>
                </c:pt>
                <c:pt idx="222">
                  <c:v>TROY-MIAMI COUNTY PUBLIC LIBRARY</c:v>
                </c:pt>
                <c:pt idx="223">
                  <c:v>TUSCARAWAS COUNTY PUBLIC LIBRARY</c:v>
                </c:pt>
                <c:pt idx="224">
                  <c:v>TWINSBURG PUBLIC LIBRARY</c:v>
                </c:pt>
                <c:pt idx="225">
                  <c:v>UNION TOWNSHIP PUBLIC LIBRARY</c:v>
                </c:pt>
                <c:pt idx="226">
                  <c:v>UPPER ARLINGTON PUBLIC LIBRARY</c:v>
                </c:pt>
                <c:pt idx="227">
                  <c:v>UPPER SANDUSKY COMMUNITY LIBRARY</c:v>
                </c:pt>
                <c:pt idx="228">
                  <c:v>WADSWORTH PUBLIC LIBRARY</c:v>
                </c:pt>
                <c:pt idx="229">
                  <c:v>WAGNALLS MEMORIAL LIBRARY</c:v>
                </c:pt>
                <c:pt idx="230">
                  <c:v>WARREN-TRUMBULL COUNTY PUBLIC LIBRARY</c:v>
                </c:pt>
                <c:pt idx="231">
                  <c:v>WASHINGTON COUNTY PUBLIC LIBRARY</c:v>
                </c:pt>
                <c:pt idx="232">
                  <c:v>WASHINGTON-CENTERVILLE PUBLIC LIBRARY</c:v>
                </c:pt>
                <c:pt idx="233">
                  <c:v>WAUSEON PUBLIC LIBRARY</c:v>
                </c:pt>
                <c:pt idx="234">
                  <c:v>WAY PUBLIC LIBRARY</c:v>
                </c:pt>
                <c:pt idx="235">
                  <c:v>WAYNE COUNTY PUBLIC LIBRARY</c:v>
                </c:pt>
                <c:pt idx="236">
                  <c:v>WAYNE PUBLIC LIBRARY</c:v>
                </c:pt>
                <c:pt idx="237">
                  <c:v>WELLSVILLE CARNEGIE PUBLIC LIBRARY</c:v>
                </c:pt>
                <c:pt idx="238">
                  <c:v>WESTERVILLE PUBLIC LIBRARY</c:v>
                </c:pt>
                <c:pt idx="239">
                  <c:v>WESTLAKE PORTER PUBLIC LIBRARY</c:v>
                </c:pt>
                <c:pt idx="240">
                  <c:v>WESTON PUBLIC LIBRARY</c:v>
                </c:pt>
                <c:pt idx="241">
                  <c:v>WICKLIFFE PUBLIC LIBRARY</c:v>
                </c:pt>
                <c:pt idx="242">
                  <c:v>WILLIAMS CO PUBLIC LIBRARY</c:v>
                </c:pt>
                <c:pt idx="243">
                  <c:v>WILLOUGHBY-EASTLAKE PUBLIC LIBRARY</c:v>
                </c:pt>
                <c:pt idx="244">
                  <c:v>WILMINGTON PUBLIC LIBRARY OF CLINTON COUNTY</c:v>
                </c:pt>
                <c:pt idx="245">
                  <c:v>WOOD COUNTY DISTRICT PUBLIC LIBRARY</c:v>
                </c:pt>
                <c:pt idx="246">
                  <c:v>WORCH MEMORIAL PUBLIC LIBRARY</c:v>
                </c:pt>
                <c:pt idx="247">
                  <c:v>WORNSTAFF MEMORIAL PUBLIC LIBRARY</c:v>
                </c:pt>
                <c:pt idx="248">
                  <c:v>WORTHINGTON PUBLIC LIBRARY</c:v>
                </c:pt>
                <c:pt idx="249">
                  <c:v>WRIGHT MEMORIAL PUBLIC LIBRARY</c:v>
                </c:pt>
                <c:pt idx="250">
                  <c:v>YOUNGSTOWN AND MAHONING COUNTY, PL OF</c:v>
                </c:pt>
              </c:strCache>
            </c:strRef>
          </c:cat>
          <c:val>
            <c:numRef>
              <c:f>'Computer Users'!$B$2:$B$252</c:f>
              <c:numCache>
                <c:formatCode>#,##0</c:formatCode>
                <c:ptCount val="251"/>
                <c:pt idx="0">
                  <c:v>8</c:v>
                </c:pt>
                <c:pt idx="1">
                  <c:v>62</c:v>
                </c:pt>
                <c:pt idx="2">
                  <c:v>459</c:v>
                </c:pt>
                <c:pt idx="3">
                  <c:v>6</c:v>
                </c:pt>
                <c:pt idx="4">
                  <c:v>3</c:v>
                </c:pt>
                <c:pt idx="5">
                  <c:v>18</c:v>
                </c:pt>
                <c:pt idx="6">
                  <c:v>5</c:v>
                </c:pt>
                <c:pt idx="7">
                  <c:v>6</c:v>
                </c:pt>
                <c:pt idx="8">
                  <c:v>6</c:v>
                </c:pt>
                <c:pt idx="9">
                  <c:v>18</c:v>
                </c:pt>
                <c:pt idx="10">
                  <c:v>53</c:v>
                </c:pt>
                <c:pt idx="11">
                  <c:v>84</c:v>
                </c:pt>
                <c:pt idx="12">
                  <c:v>29</c:v>
                </c:pt>
                <c:pt idx="13">
                  <c:v>7</c:v>
                </c:pt>
                <c:pt idx="14">
                  <c:v>16</c:v>
                </c:pt>
                <c:pt idx="15">
                  <c:v>18</c:v>
                </c:pt>
                <c:pt idx="16">
                  <c:v>7</c:v>
                </c:pt>
                <c:pt idx="17">
                  <c:v>4</c:v>
                </c:pt>
                <c:pt idx="18">
                  <c:v>7</c:v>
                </c:pt>
                <c:pt idx="19">
                  <c:v>17</c:v>
                </c:pt>
                <c:pt idx="20">
                  <c:v>10</c:v>
                </c:pt>
                <c:pt idx="21">
                  <c:v>38</c:v>
                </c:pt>
                <c:pt idx="22">
                  <c:v>22</c:v>
                </c:pt>
                <c:pt idx="23">
                  <c:v>16</c:v>
                </c:pt>
                <c:pt idx="24">
                  <c:v>2</c:v>
                </c:pt>
                <c:pt idx="25">
                  <c:v>10</c:v>
                </c:pt>
                <c:pt idx="26">
                  <c:v>3</c:v>
                </c:pt>
                <c:pt idx="27">
                  <c:v>11</c:v>
                </c:pt>
                <c:pt idx="28">
                  <c:v>29</c:v>
                </c:pt>
                <c:pt idx="29">
                  <c:v>7</c:v>
                </c:pt>
                <c:pt idx="30">
                  <c:v>22</c:v>
                </c:pt>
                <c:pt idx="31">
                  <c:v>2</c:v>
                </c:pt>
                <c:pt idx="32">
                  <c:v>20</c:v>
                </c:pt>
                <c:pt idx="33">
                  <c:v>10</c:v>
                </c:pt>
                <c:pt idx="34">
                  <c:v>6</c:v>
                </c:pt>
                <c:pt idx="35">
                  <c:v>3</c:v>
                </c:pt>
                <c:pt idx="36">
                  <c:v>16</c:v>
                </c:pt>
                <c:pt idx="37">
                  <c:v>12</c:v>
                </c:pt>
                <c:pt idx="38">
                  <c:v>4</c:v>
                </c:pt>
                <c:pt idx="39">
                  <c:v>24</c:v>
                </c:pt>
                <c:pt idx="40">
                  <c:v>12</c:v>
                </c:pt>
                <c:pt idx="41">
                  <c:v>6</c:v>
                </c:pt>
                <c:pt idx="42">
                  <c:v>10</c:v>
                </c:pt>
                <c:pt idx="43">
                  <c:v>49</c:v>
                </c:pt>
                <c:pt idx="44">
                  <c:v>318</c:v>
                </c:pt>
                <c:pt idx="45">
                  <c:v>14</c:v>
                </c:pt>
                <c:pt idx="46">
                  <c:v>19</c:v>
                </c:pt>
                <c:pt idx="47">
                  <c:v>132</c:v>
                </c:pt>
                <c:pt idx="48">
                  <c:v>153</c:v>
                </c:pt>
                <c:pt idx="49" formatCode="General">
                  <c:v>0</c:v>
                </c:pt>
                <c:pt idx="50">
                  <c:v>7</c:v>
                </c:pt>
                <c:pt idx="51">
                  <c:v>7</c:v>
                </c:pt>
                <c:pt idx="52">
                  <c:v>5</c:v>
                </c:pt>
                <c:pt idx="53">
                  <c:v>222</c:v>
                </c:pt>
                <c:pt idx="54">
                  <c:v>24</c:v>
                </c:pt>
                <c:pt idx="55">
                  <c:v>21</c:v>
                </c:pt>
                <c:pt idx="56">
                  <c:v>24</c:v>
                </c:pt>
                <c:pt idx="57">
                  <c:v>810</c:v>
                </c:pt>
                <c:pt idx="58">
                  <c:v>25</c:v>
                </c:pt>
                <c:pt idx="59">
                  <c:v>463</c:v>
                </c:pt>
                <c:pt idx="60">
                  <c:v>21</c:v>
                </c:pt>
                <c:pt idx="61">
                  <c:v>30</c:v>
                </c:pt>
                <c:pt idx="62">
                  <c:v>3</c:v>
                </c:pt>
                <c:pt idx="63">
                  <c:v>9</c:v>
                </c:pt>
                <c:pt idx="64">
                  <c:v>6</c:v>
                </c:pt>
                <c:pt idx="65">
                  <c:v>20</c:v>
                </c:pt>
                <c:pt idx="66">
                  <c:v>4</c:v>
                </c:pt>
                <c:pt idx="67">
                  <c:v>4</c:v>
                </c:pt>
                <c:pt idx="68">
                  <c:v>80</c:v>
                </c:pt>
                <c:pt idx="69">
                  <c:v>10</c:v>
                </c:pt>
                <c:pt idx="70">
                  <c:v>48</c:v>
                </c:pt>
                <c:pt idx="71">
                  <c:v>91</c:v>
                </c:pt>
                <c:pt idx="72">
                  <c:v>2</c:v>
                </c:pt>
                <c:pt idx="73">
                  <c:v>22</c:v>
                </c:pt>
                <c:pt idx="74">
                  <c:v>4</c:v>
                </c:pt>
                <c:pt idx="75">
                  <c:v>14</c:v>
                </c:pt>
                <c:pt idx="76">
                  <c:v>7</c:v>
                </c:pt>
                <c:pt idx="77">
                  <c:v>6</c:v>
                </c:pt>
                <c:pt idx="78">
                  <c:v>16</c:v>
                </c:pt>
                <c:pt idx="79">
                  <c:v>6</c:v>
                </c:pt>
                <c:pt idx="80">
                  <c:v>12</c:v>
                </c:pt>
                <c:pt idx="81">
                  <c:v>58</c:v>
                </c:pt>
                <c:pt idx="82">
                  <c:v>18</c:v>
                </c:pt>
                <c:pt idx="83">
                  <c:v>9</c:v>
                </c:pt>
                <c:pt idx="84">
                  <c:v>6</c:v>
                </c:pt>
                <c:pt idx="85">
                  <c:v>35</c:v>
                </c:pt>
                <c:pt idx="86">
                  <c:v>14</c:v>
                </c:pt>
                <c:pt idx="87">
                  <c:v>57</c:v>
                </c:pt>
                <c:pt idx="88">
                  <c:v>4</c:v>
                </c:pt>
                <c:pt idx="89">
                  <c:v>59</c:v>
                </c:pt>
                <c:pt idx="90">
                  <c:v>12</c:v>
                </c:pt>
                <c:pt idx="91">
                  <c:v>12</c:v>
                </c:pt>
                <c:pt idx="92">
                  <c:v>7</c:v>
                </c:pt>
                <c:pt idx="93">
                  <c:v>3</c:v>
                </c:pt>
                <c:pt idx="94">
                  <c:v>17</c:v>
                </c:pt>
                <c:pt idx="95">
                  <c:v>9</c:v>
                </c:pt>
                <c:pt idx="96">
                  <c:v>8</c:v>
                </c:pt>
                <c:pt idx="97">
                  <c:v>5</c:v>
                </c:pt>
                <c:pt idx="98">
                  <c:v>21</c:v>
                </c:pt>
                <c:pt idx="99">
                  <c:v>6</c:v>
                </c:pt>
                <c:pt idx="100">
                  <c:v>17</c:v>
                </c:pt>
                <c:pt idx="101">
                  <c:v>7</c:v>
                </c:pt>
                <c:pt idx="102">
                  <c:v>22</c:v>
                </c:pt>
                <c:pt idx="103">
                  <c:v>45</c:v>
                </c:pt>
                <c:pt idx="104">
                  <c:v>11</c:v>
                </c:pt>
                <c:pt idx="105">
                  <c:v>16</c:v>
                </c:pt>
                <c:pt idx="106">
                  <c:v>16</c:v>
                </c:pt>
                <c:pt idx="107">
                  <c:v>12</c:v>
                </c:pt>
                <c:pt idx="108">
                  <c:v>4</c:v>
                </c:pt>
                <c:pt idx="109">
                  <c:v>8</c:v>
                </c:pt>
                <c:pt idx="110">
                  <c:v>20</c:v>
                </c:pt>
                <c:pt idx="111">
                  <c:v>13</c:v>
                </c:pt>
                <c:pt idx="112">
                  <c:v>19</c:v>
                </c:pt>
                <c:pt idx="113">
                  <c:v>4</c:v>
                </c:pt>
                <c:pt idx="114">
                  <c:v>5</c:v>
                </c:pt>
                <c:pt idx="115">
                  <c:v>5</c:v>
                </c:pt>
                <c:pt idx="116">
                  <c:v>100</c:v>
                </c:pt>
                <c:pt idx="117">
                  <c:v>51</c:v>
                </c:pt>
                <c:pt idx="118">
                  <c:v>23</c:v>
                </c:pt>
                <c:pt idx="119">
                  <c:v>9</c:v>
                </c:pt>
                <c:pt idx="120">
                  <c:v>4</c:v>
                </c:pt>
                <c:pt idx="121">
                  <c:v>6</c:v>
                </c:pt>
                <c:pt idx="122">
                  <c:v>91</c:v>
                </c:pt>
                <c:pt idx="123">
                  <c:v>18</c:v>
                </c:pt>
                <c:pt idx="124">
                  <c:v>30</c:v>
                </c:pt>
                <c:pt idx="125">
                  <c:v>15</c:v>
                </c:pt>
                <c:pt idx="126">
                  <c:v>14</c:v>
                </c:pt>
                <c:pt idx="127">
                  <c:v>92</c:v>
                </c:pt>
                <c:pt idx="128">
                  <c:v>16</c:v>
                </c:pt>
                <c:pt idx="129">
                  <c:v>23</c:v>
                </c:pt>
                <c:pt idx="130">
                  <c:v>10</c:v>
                </c:pt>
                <c:pt idx="131">
                  <c:v>90</c:v>
                </c:pt>
                <c:pt idx="132">
                  <c:v>5</c:v>
                </c:pt>
                <c:pt idx="133">
                  <c:v>16</c:v>
                </c:pt>
                <c:pt idx="134">
                  <c:v>13</c:v>
                </c:pt>
                <c:pt idx="135">
                  <c:v>10</c:v>
                </c:pt>
                <c:pt idx="136">
                  <c:v>17</c:v>
                </c:pt>
                <c:pt idx="137">
                  <c:v>4</c:v>
                </c:pt>
                <c:pt idx="138">
                  <c:v>16</c:v>
                </c:pt>
                <c:pt idx="139">
                  <c:v>15</c:v>
                </c:pt>
                <c:pt idx="140">
                  <c:v>8</c:v>
                </c:pt>
                <c:pt idx="141">
                  <c:v>6</c:v>
                </c:pt>
                <c:pt idx="142">
                  <c:v>3</c:v>
                </c:pt>
                <c:pt idx="143">
                  <c:v>99</c:v>
                </c:pt>
                <c:pt idx="144">
                  <c:v>35</c:v>
                </c:pt>
                <c:pt idx="145">
                  <c:v>37</c:v>
                </c:pt>
                <c:pt idx="146">
                  <c:v>48</c:v>
                </c:pt>
                <c:pt idx="147">
                  <c:v>37</c:v>
                </c:pt>
                <c:pt idx="148">
                  <c:v>6</c:v>
                </c:pt>
                <c:pt idx="149">
                  <c:v>1</c:v>
                </c:pt>
                <c:pt idx="150">
                  <c:v>8</c:v>
                </c:pt>
                <c:pt idx="151">
                  <c:v>7</c:v>
                </c:pt>
                <c:pt idx="152">
                  <c:v>16</c:v>
                </c:pt>
                <c:pt idx="153">
                  <c:v>10</c:v>
                </c:pt>
                <c:pt idx="154">
                  <c:v>12</c:v>
                </c:pt>
                <c:pt idx="155">
                  <c:v>12</c:v>
                </c:pt>
                <c:pt idx="156">
                  <c:v>4</c:v>
                </c:pt>
                <c:pt idx="157">
                  <c:v>9</c:v>
                </c:pt>
                <c:pt idx="158">
                  <c:v>38</c:v>
                </c:pt>
                <c:pt idx="159">
                  <c:v>37</c:v>
                </c:pt>
                <c:pt idx="160">
                  <c:v>15</c:v>
                </c:pt>
                <c:pt idx="161">
                  <c:v>6</c:v>
                </c:pt>
                <c:pt idx="162">
                  <c:v>6</c:v>
                </c:pt>
                <c:pt idx="163">
                  <c:v>7</c:v>
                </c:pt>
                <c:pt idx="164">
                  <c:v>6</c:v>
                </c:pt>
                <c:pt idx="165">
                  <c:v>12</c:v>
                </c:pt>
                <c:pt idx="166">
                  <c:v>20</c:v>
                </c:pt>
                <c:pt idx="167">
                  <c:v>2</c:v>
                </c:pt>
                <c:pt idx="168">
                  <c:v>22</c:v>
                </c:pt>
                <c:pt idx="169">
                  <c:v>4</c:v>
                </c:pt>
                <c:pt idx="170">
                  <c:v>22</c:v>
                </c:pt>
                <c:pt idx="171">
                  <c:v>16</c:v>
                </c:pt>
                <c:pt idx="172">
                  <c:v>11</c:v>
                </c:pt>
                <c:pt idx="173">
                  <c:v>5</c:v>
                </c:pt>
                <c:pt idx="174">
                  <c:v>8</c:v>
                </c:pt>
                <c:pt idx="175">
                  <c:v>10</c:v>
                </c:pt>
                <c:pt idx="176">
                  <c:v>12</c:v>
                </c:pt>
                <c:pt idx="177">
                  <c:v>48</c:v>
                </c:pt>
                <c:pt idx="178">
                  <c:v>9</c:v>
                </c:pt>
                <c:pt idx="179">
                  <c:v>6</c:v>
                </c:pt>
                <c:pt idx="180">
                  <c:v>4</c:v>
                </c:pt>
                <c:pt idx="181">
                  <c:v>31</c:v>
                </c:pt>
                <c:pt idx="182">
                  <c:v>13</c:v>
                </c:pt>
                <c:pt idx="183">
                  <c:v>23</c:v>
                </c:pt>
                <c:pt idx="184">
                  <c:v>43</c:v>
                </c:pt>
                <c:pt idx="185">
                  <c:v>31</c:v>
                </c:pt>
                <c:pt idx="186">
                  <c:v>14</c:v>
                </c:pt>
                <c:pt idx="187">
                  <c:v>61</c:v>
                </c:pt>
                <c:pt idx="188">
                  <c:v>24</c:v>
                </c:pt>
                <c:pt idx="189">
                  <c:v>21</c:v>
                </c:pt>
                <c:pt idx="190">
                  <c:v>11</c:v>
                </c:pt>
                <c:pt idx="191">
                  <c:v>21</c:v>
                </c:pt>
                <c:pt idx="192">
                  <c:v>42</c:v>
                </c:pt>
                <c:pt idx="193">
                  <c:v>16</c:v>
                </c:pt>
                <c:pt idx="194">
                  <c:v>4</c:v>
                </c:pt>
                <c:pt idx="195">
                  <c:v>20</c:v>
                </c:pt>
                <c:pt idx="196">
                  <c:v>8</c:v>
                </c:pt>
                <c:pt idx="197">
                  <c:v>7</c:v>
                </c:pt>
                <c:pt idx="198">
                  <c:v>12</c:v>
                </c:pt>
                <c:pt idx="199">
                  <c:v>35</c:v>
                </c:pt>
                <c:pt idx="200">
                  <c:v>7</c:v>
                </c:pt>
                <c:pt idx="201">
                  <c:v>15</c:v>
                </c:pt>
                <c:pt idx="202">
                  <c:v>8</c:v>
                </c:pt>
                <c:pt idx="203">
                  <c:v>9</c:v>
                </c:pt>
                <c:pt idx="204">
                  <c:v>10</c:v>
                </c:pt>
                <c:pt idx="205">
                  <c:v>1</c:v>
                </c:pt>
                <c:pt idx="206">
                  <c:v>14</c:v>
                </c:pt>
                <c:pt idx="207">
                  <c:v>17</c:v>
                </c:pt>
                <c:pt idx="208">
                  <c:v>29</c:v>
                </c:pt>
                <c:pt idx="209">
                  <c:v>68</c:v>
                </c:pt>
                <c:pt idx="210">
                  <c:v>9</c:v>
                </c:pt>
                <c:pt idx="211">
                  <c:v>7</c:v>
                </c:pt>
                <c:pt idx="212">
                  <c:v>10</c:v>
                </c:pt>
                <c:pt idx="213">
                  <c:v>69</c:v>
                </c:pt>
                <c:pt idx="214">
                  <c:v>92</c:v>
                </c:pt>
                <c:pt idx="215">
                  <c:v>33</c:v>
                </c:pt>
                <c:pt idx="216">
                  <c:v>22</c:v>
                </c:pt>
                <c:pt idx="217">
                  <c:v>5</c:v>
                </c:pt>
                <c:pt idx="218">
                  <c:v>8</c:v>
                </c:pt>
                <c:pt idx="219">
                  <c:v>24</c:v>
                </c:pt>
                <c:pt idx="220">
                  <c:v>18</c:v>
                </c:pt>
                <c:pt idx="221">
                  <c:v>631</c:v>
                </c:pt>
                <c:pt idx="222">
                  <c:v>15</c:v>
                </c:pt>
                <c:pt idx="223">
                  <c:v>17</c:v>
                </c:pt>
                <c:pt idx="224">
                  <c:v>19</c:v>
                </c:pt>
                <c:pt idx="225">
                  <c:v>8</c:v>
                </c:pt>
                <c:pt idx="226">
                  <c:v>19</c:v>
                </c:pt>
                <c:pt idx="227">
                  <c:v>8</c:v>
                </c:pt>
                <c:pt idx="228">
                  <c:v>6</c:v>
                </c:pt>
                <c:pt idx="229">
                  <c:v>4</c:v>
                </c:pt>
                <c:pt idx="230">
                  <c:v>22</c:v>
                </c:pt>
                <c:pt idx="231">
                  <c:v>31</c:v>
                </c:pt>
                <c:pt idx="232">
                  <c:v>16</c:v>
                </c:pt>
                <c:pt idx="233">
                  <c:v>5</c:v>
                </c:pt>
                <c:pt idx="234">
                  <c:v>28</c:v>
                </c:pt>
                <c:pt idx="235">
                  <c:v>84</c:v>
                </c:pt>
                <c:pt idx="236">
                  <c:v>9</c:v>
                </c:pt>
                <c:pt idx="237">
                  <c:v>7</c:v>
                </c:pt>
                <c:pt idx="238">
                  <c:v>123</c:v>
                </c:pt>
                <c:pt idx="239">
                  <c:v>12</c:v>
                </c:pt>
                <c:pt idx="240">
                  <c:v>7</c:v>
                </c:pt>
                <c:pt idx="241">
                  <c:v>19</c:v>
                </c:pt>
                <c:pt idx="242">
                  <c:v>43</c:v>
                </c:pt>
                <c:pt idx="243">
                  <c:v>28</c:v>
                </c:pt>
                <c:pt idx="244">
                  <c:v>25</c:v>
                </c:pt>
                <c:pt idx="245">
                  <c:v>20</c:v>
                </c:pt>
                <c:pt idx="246">
                  <c:v>14</c:v>
                </c:pt>
                <c:pt idx="247">
                  <c:v>4</c:v>
                </c:pt>
                <c:pt idx="248">
                  <c:v>181</c:v>
                </c:pt>
                <c:pt idx="249">
                  <c:v>8</c:v>
                </c:pt>
                <c:pt idx="250">
                  <c:v>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C-4F35-A6D8-43110EA385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0929375"/>
        <c:axId val="260927295"/>
      </c:barChart>
      <c:catAx>
        <c:axId val="260929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927295"/>
        <c:crosses val="autoZero"/>
        <c:auto val="1"/>
        <c:lblAlgn val="ctr"/>
        <c:lblOffset val="100"/>
        <c:noMultiLvlLbl val="0"/>
      </c:catAx>
      <c:valAx>
        <c:axId val="260927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9293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Membership</a:t>
            </a:r>
            <a:r>
              <a:rPr lang="en-US" baseline="0"/>
              <a:t> Tiers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'Makerspace Member List'!$J$1</c:f>
              <c:strCache>
                <c:ptCount val="1"/>
                <c:pt idx="0">
                  <c:v>Count of Members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'Makerspace Member List'!$I$2:$I$6</c:f>
              <c:strCache>
                <c:ptCount val="5"/>
                <c:pt idx="0">
                  <c:v>Entry</c:v>
                </c:pt>
                <c:pt idx="1">
                  <c:v>Pro</c:v>
                </c:pt>
                <c:pt idx="2">
                  <c:v>Full</c:v>
                </c:pt>
                <c:pt idx="3">
                  <c:v>Advanced</c:v>
                </c:pt>
                <c:pt idx="4">
                  <c:v>Discounted</c:v>
                </c:pt>
              </c:strCache>
            </c:strRef>
          </c:cat>
          <c:val>
            <c:numRef>
              <c:f>'Makerspace Member List'!$J$2:$J$6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7-4A9F-8F79-1E76E1E3D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603503"/>
        <c:axId val="128601423"/>
      </c:barChart>
      <c:catAx>
        <c:axId val="128603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01423"/>
        <c:crosses val="autoZero"/>
        <c:auto val="1"/>
        <c:lblAlgn val="ctr"/>
        <c:lblOffset val="100"/>
        <c:noMultiLvlLbl val="0"/>
      </c:catAx>
      <c:valAx>
        <c:axId val="128601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03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How do members hear about us?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'Makerspace Marketing'!$N$1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'Makerspace Marketing'!$M$2:$M$8</c:f>
              <c:strCache>
                <c:ptCount val="7"/>
                <c:pt idx="0">
                  <c:v>Current member</c:v>
                </c:pt>
                <c:pt idx="1">
                  <c:v>Facebook Group</c:v>
                </c:pt>
                <c:pt idx="2">
                  <c:v>Friend or other word of mouth</c:v>
                </c:pt>
                <c:pt idx="3">
                  <c:v>Online search for makerspace</c:v>
                </c:pt>
                <c:pt idx="4">
                  <c:v>Online search for classes</c:v>
                </c:pt>
                <c:pt idx="5">
                  <c:v>Online Advertisement</c:v>
                </c:pt>
                <c:pt idx="6">
                  <c:v>Other</c:v>
                </c:pt>
              </c:strCache>
            </c:strRef>
          </c:cat>
          <c:val>
            <c:numRef>
              <c:f>'Makerspace Marketing'!$N$2:$N$8</c:f>
              <c:numCache>
                <c:formatCode>General</c:formatCode>
                <c:ptCount val="7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83-46A8-BBB4-736808555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620911"/>
        <c:axId val="200621743"/>
      </c:barChart>
      <c:catAx>
        <c:axId val="200620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621743"/>
        <c:crosses val="autoZero"/>
        <c:auto val="1"/>
        <c:lblAlgn val="ctr"/>
        <c:lblOffset val="100"/>
        <c:noMultiLvlLbl val="0"/>
      </c:catAx>
      <c:valAx>
        <c:axId val="20062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620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Weekly Attendance Histogram (Auto Generated)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Weekly Attendance Histogram (Auto Generated)</a:t>
          </a:r>
        </a:p>
      </cx:txPr>
    </cx:title>
    <cx:plotArea>
      <cx:plotAreaRegion>
        <cx:series layoutId="clusteredColumn" uniqueId="{E1C43F96-507F-4231-AC9A-0B711797FD5E}">
          <cx:tx>
            <cx:txData>
              <cx:f>_xlchart.v1.0</cx:f>
              <cx:v>Weekly Attendance (Text Removed)</cx:v>
            </cx:txData>
          </cx:tx>
          <cx:dataId val="0"/>
          <cx:layoutPr>
            <cx:binning intervalClosed="r">
              <cx:binCount val="2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_xlchart.v2.5</cx:f>
      </cx:strDim>
      <cx:numDim type="val">
        <cx:f>_xlchart.v2.7</cx:f>
      </cx:numDim>
    </cx:data>
  </cx:chartData>
  <cx:chart>
    <cx:title pos="t" align="ctr" overlay="0">
      <cx:tx>
        <cx:txData>
          <cx:v>Weekly Attendance Funnel Chart (Manual)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Weekly Attendance Funnel Chart (Manual)</a:t>
          </a:r>
        </a:p>
      </cx:txPr>
    </cx:title>
    <cx:plotArea>
      <cx:plotAreaRegion>
        <cx:series layoutId="funnel" uniqueId="{3F042445-9F7D-4ACC-A929-11A984D36185}">
          <cx:tx>
            <cx:txData>
              <cx:f>_xlchart.v2.6</cx:f>
              <cx:v>Count</cx:v>
            </cx:txData>
          </cx:tx>
          <cx:dataLabels>
            <cx:visibility seriesName="0" categoryName="0" value="1"/>
          </cx:dataLabels>
          <cx:dataId val="0"/>
        </cx:series>
      </cx:plotAreaRegion>
      <cx:axis id="1">
        <cx:catScaling gapWidth="0.0599999987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_xlchart.v2.2</cx:f>
      </cx:strDim>
      <cx:numDim type="val">
        <cx:f>_xlchart.v2.4</cx:f>
      </cx:numDim>
    </cx:data>
  </cx:chartData>
  <cx:chart>
    <cx:title pos="t" align="ctr" overlay="0">
      <cx:tx>
        <cx:txData>
          <cx:v>Weekly Attendance Funnel Chart (Manual) - No Zeros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Weekly Attendance Funnel Chart (Manual) - No Zeros</a:t>
          </a:r>
        </a:p>
      </cx:txPr>
    </cx:title>
    <cx:plotArea>
      <cx:plotAreaRegion>
        <cx:series layoutId="funnel" uniqueId="{9BB93C6C-C237-4A7D-993D-43040A726E0B}">
          <cx:tx>
            <cx:txData>
              <cx:f>_xlchart.v2.3</cx:f>
              <cx:v>Count</cx:v>
            </cx:txData>
          </cx:tx>
          <cx:dataLabels>
            <cx:visibility seriesName="0" categoryName="0" value="1"/>
          </cx:dataLabels>
          <cx:dataId val="0"/>
        </cx:series>
      </cx:plotAreaRegion>
      <cx:axis id="1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1816100</xdr:colOff>
      <xdr:row>0</xdr:row>
      <xdr:rowOff>0</xdr:rowOff>
    </xdr:from>
    <xdr:to>
      <xdr:col>16</xdr:col>
      <xdr:colOff>514350</xdr:colOff>
      <xdr:row>27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0B0243-EB06-79BE-5918-1DD5BADC4F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117474</xdr:colOff>
      <xdr:row>16</xdr:row>
      <xdr:rowOff>25400</xdr:rowOff>
    </xdr:from>
    <xdr:to>
      <xdr:col>13</xdr:col>
      <xdr:colOff>50799</xdr:colOff>
      <xdr:row>34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96D76AC7-25A6-D235-4E68-764A930FCE6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59774" y="3073400"/>
              <a:ext cx="6080125" cy="347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288925</xdr:colOff>
      <xdr:row>0</xdr:row>
      <xdr:rowOff>114300</xdr:rowOff>
    </xdr:from>
    <xdr:to>
      <xdr:col>17</xdr:col>
      <xdr:colOff>593725</xdr:colOff>
      <xdr:row>15</xdr:row>
      <xdr:rowOff>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46A24061-CDBB-752F-EBB1-4F07965E79D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49225" y="1143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352424</xdr:colOff>
      <xdr:row>0</xdr:row>
      <xdr:rowOff>114300</xdr:rowOff>
    </xdr:from>
    <xdr:to>
      <xdr:col>26</xdr:col>
      <xdr:colOff>222249</xdr:colOff>
      <xdr:row>15</xdr:row>
      <xdr:rowOff>31750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26D8BE15-5751-96C3-C373-AA38A5DDFF4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89524" y="114300"/>
              <a:ext cx="4746625" cy="2774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1</xdr:row>
      <xdr:rowOff>76200</xdr:rowOff>
    </xdr:from>
    <xdr:to>
      <xdr:col>16</xdr:col>
      <xdr:colOff>527049</xdr:colOff>
      <xdr:row>24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B594F7-CCEB-39F4-2F12-0476BBAE94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219075</xdr:colOff>
      <xdr:row>0</xdr:row>
      <xdr:rowOff>76200</xdr:rowOff>
    </xdr:from>
    <xdr:to>
      <xdr:col>17</xdr:col>
      <xdr:colOff>523875</xdr:colOff>
      <xdr:row>8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EDD83E-93F0-8B56-1436-F6B2E91FA8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422275</xdr:colOff>
      <xdr:row>9</xdr:row>
      <xdr:rowOff>152400</xdr:rowOff>
    </xdr:from>
    <xdr:to>
      <xdr:col>17</xdr:col>
      <xdr:colOff>549275</xdr:colOff>
      <xdr:row>24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08BA38-93A0-98D2-417F-7AE85D506A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54E9A7-985B-4AD1-9C35-FF04BC0E8C63}" name="Table1" displayName="Table1" ref="A1:C1048576" totalsRowShown="0" headerRowDxfId="13" headerRowBorderDxfId="12" tableBorderDxfId="11">
  <autoFilter ref="A1:C1048576" xr:uid="{0154E9A7-985B-4AD1-9C35-FF04BC0E8C63}"/>
  <tableColumns count="3">
    <tableColumn id="1" xr3:uid="{FD7645B9-7166-42D2-B71A-4E440B77BC64}" name="Location"/>
    <tableColumn id="2" xr3:uid="{1E953915-5C20-4869-9D6D-CF8E551A7D6A}" name="2.26 # of Branches"/>
    <tableColumn id="3" xr3:uid="{FE53F1BC-D9AC-416C-A0B9-F945C0AF847A}" name="1.24 Population of Legal Svc Are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11835CE-8504-45E7-9E0D-956EA6D25332}" name="Table4" displayName="Table4" ref="A1:D1048576" totalsRowShown="0" headerRowDxfId="10" headerRowBorderDxfId="9" tableBorderDxfId="8">
  <autoFilter ref="A1:D1048576" xr:uid="{211835CE-8504-45E7-9E0D-956EA6D25332}"/>
  <tableColumns count="4">
    <tableColumn id="1" xr3:uid="{1AE527AE-A6D6-4ECF-AB2A-344FB4D3E150}" name="Location"/>
    <tableColumn id="2" xr3:uid="{662A6524-8297-4E42-91F6-945E00554440}" name="1.25 Registered Borrowers Adult"/>
    <tableColumn id="3" xr3:uid="{D299450C-38E1-45ED-9673-CE3B4706A2CB}" name="1.26 Registered Borrowers Children"/>
    <tableColumn id="4" xr3:uid="{4738A297-00DA-4F61-91BF-E454DB11D51C}" name="1.27 Registered Borrowers Tot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276A1-4A56-4892-948A-4F434EBEE30E}" name="Table3" displayName="Table3" ref="A1:D252" totalsRowShown="0" headerRowDxfId="7" headerRowBorderDxfId="6" tableBorderDxfId="5">
  <autoFilter ref="A1:D252" xr:uid="{890276A1-4A56-4892-948A-4F434EBEE30E}"/>
  <tableColumns count="5">
    <tableColumn id="1" xr3:uid="{D82E5FE2-9418-48BC-9D1E-4E2E97988678}" name="Location"/>
    <tableColumn id="2" xr3:uid="{BCAE2B59-7498-4BA5-BD3D-811566939696}" name="8.3 Attendance in Library per Typical Week"/>
    <tableColumn id="5" xr3:uid="{4BCFB6B8-4C02-48EB-9DCF-9059604E9BDD}" name="8.4 Annual Attendance in Library (8.3 * 52)"/>
    <tableColumn id="6" xr3:uid="{7FE55485-7BEE-4E80-AE28-A36EDFA030BD}" name="Weekly Attendance (Text Removed)">
      <calculatedColumnFormula>IF(Table3[[#This Row],[8.3 Attendance in Library per Typical Week]] = "N/A", 0, Table3[[#This Row],[8.3 Attendance in Library per Typical Week]])</calculatedColumnFormula>
    </tableColumn>
    <tableColumn id="3" xr3:uid="{0B276770-A2F6-41BC-9A38-0CED335541B0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7C4E1E9-605C-43FE-9FB7-1664003E0418}" name="Table12" displayName="Table12" ref="H1:I12" totalsRowShown="0">
  <autoFilter ref="H1:I12" xr:uid="{F7C4E1E9-605C-43FE-9FB7-1664003E0418}"/>
  <tableColumns count="2">
    <tableColumn id="1" xr3:uid="{9C8D879A-5CFC-4058-9D87-8A4A479DC218}" name="Weekly Attendence Bins"/>
    <tableColumn id="2" xr3:uid="{E044B0BE-504C-41DF-A78A-0889438AF331}" name="Cou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E0A284-E986-4CBF-AE28-ABE6DBD228BB}" name="Table2" displayName="Table2" ref="A1:B1048576" totalsRowShown="0" headerRowDxfId="4" headerRowBorderDxfId="3" tableBorderDxfId="2">
  <autoFilter ref="A1:B1048576" xr:uid="{26E0A284-E986-4CBF-AE28-ABE6DBD228BB}"/>
  <tableColumns count="2">
    <tableColumn id="1" xr3:uid="{4295B8D4-F299-426B-9DE0-D9E9D72B1C29}" name="Location"/>
    <tableColumn id="2" xr3:uid="{B1DC4AF8-7012-4372-BDE4-A57B830CC4B2}" name="2.30 Total Number of Internet Computers Used by General Public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783D9AA-7E2E-4D9E-958F-C4FFFA2BA3A5}" name="Table5" displayName="Table5" ref="A1:G1048576" totalsRowShown="0">
  <autoFilter ref="A1:G1048576" xr:uid="{D783D9AA-7E2E-4D9E-958F-C4FFFA2BA3A5}"/>
  <tableColumns count="7">
    <tableColumn id="1" xr3:uid="{6669AD78-D7D2-43BB-9851-DDF15758D14D}" name="ID"/>
    <tableColumn id="2" xr3:uid="{C95544C4-656C-4D16-A972-678532F2090E}" name="Name2"/>
    <tableColumn id="3" xr3:uid="{C2F4A1C5-9FCF-4C5A-97AE-31FA7F24564D}" name="Email2"/>
    <tableColumn id="4" xr3:uid="{6AFE6B5D-8625-4AAC-B212-625666DC0844}" name="Address"/>
    <tableColumn id="5" xr3:uid="{6602766F-B1DF-45AA-8634-9A5718449FD1}" name="Type of Membership"/>
    <tableColumn id="6" xr3:uid="{2D374AF3-9FE1-48B8-9DA0-A0E2C2270903}" name="If you selected 'Discounted' membership, please indicate what discount you're seeking (e.g. student, veteran, low income, etc.)"/>
    <tableColumn id="7" xr3:uid="{38CAA589-44D9-4C1F-8C99-F65545521290}" name="Please enter anything else you'd like to share: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1F908E1-2C43-40F7-BA7E-5A72E3BC39D2}" name="Table6" displayName="Table6" ref="I1:J6" totalsRowShown="0">
  <autoFilter ref="I1:J6" xr:uid="{61F908E1-2C43-40F7-BA7E-5A72E3BC39D2}"/>
  <tableColumns count="2">
    <tableColumn id="1" xr3:uid="{C9B222A0-548F-41AB-A463-3A6D727515D4}" name="Membership Count"/>
    <tableColumn id="2" xr3:uid="{4C6FE332-B71C-44F8-BECC-005D6923747A}" name="Count of Member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A7DB46A-44B2-49DA-9902-78E04D2DA119}" name="Table7" displayName="Table7" ref="A1:B1048576" totalsRowShown="0">
  <autoFilter ref="A1:B1048576" xr:uid="{BA7DB46A-44B2-49DA-9902-78E04D2DA119}"/>
  <tableColumns count="2">
    <tableColumn id="1" xr3:uid="{159FFB63-57AF-4EDE-990A-1B05E4D77AC4}" name="ID"/>
    <tableColumn id="2" xr3:uid="{D1EFC5CE-5DBA-4E57-8386-B63CB14C77C0}" name="How did you hear about us?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7D48C3F-1BD4-4122-BDFD-3FC7064BD55D}" name="Table8" displayName="Table8" ref="D1:K8" totalsRowShown="0" headerRowDxfId="1">
  <autoFilter ref="D1:K8" xr:uid="{67D48C3F-1BD4-4122-BDFD-3FC7064BD55D}"/>
  <tableColumns count="8">
    <tableColumn id="1" xr3:uid="{818B345F-3678-44C4-ACB4-38FCB9414C0F}" name="Current member">
      <calculatedColumnFormula>COUNTIF(Table7[[#This Row],[How did you hear about us?]],"*current member*")</calculatedColumnFormula>
    </tableColumn>
    <tableColumn id="2" xr3:uid="{E0C3F9E2-011B-4902-B0EC-2D541355AA2B}" name="Facebook Group">
      <calculatedColumnFormula>COUNTIF(Table7[[#This Row],[ID]],"*facebook*")</calculatedColumnFormula>
    </tableColumn>
    <tableColumn id="3" xr3:uid="{2EB402F5-971B-499C-83D7-FD56B2525BB4}" name="Friend or other word of mouth">
      <calculatedColumnFormula>COUNTIF(Table7[[#This Row],[How did you hear about us?]],"*friend*")</calculatedColumnFormula>
    </tableColumn>
    <tableColumn id="4" xr3:uid="{B62BD5FD-FF22-41AD-9A0E-704FFB6486E8}" name="Online search for makerspace">
      <calculatedColumnFormula>COUNTIF(Table7[[#This Row],[ID]],"*online search for makerspace*")</calculatedColumnFormula>
    </tableColumn>
    <tableColumn id="5" xr3:uid="{ACCEC9F2-7BA9-4EF0-840B-D08936D4A32D}" name="Online search for classes">
      <calculatedColumnFormula>COUNTIF(Table7[[#This Row],[How did you hear about us?]],"*online search for class*")</calculatedColumnFormula>
    </tableColumn>
    <tableColumn id="6" xr3:uid="{57942CBC-FE5D-4691-9ECD-05BD1A3FAE5A}" name="Online Advertisement">
      <calculatedColumnFormula>COUNTIF(Table7[[#This Row],[ID]],"*advertisement*")</calculatedColumnFormula>
    </tableColumn>
    <tableColumn id="7" xr3:uid="{842565ED-9FBC-4220-9FD4-B6C35C2DC4FF}" name="Other">
      <calculatedColumnFormula array="1">removetexts(Table7[[#This Row],[How did you hear about us?]],Table8[[#Headers],[Current member]:[Online Advertisement]])</calculatedColumnFormula>
    </tableColumn>
    <tableColumn id="8" xr3:uid="{1F4B073C-7AF5-49F1-A92C-3F8F54E1D9B8}" name="Count of Other">
      <calculatedColumnFormula>IF(Table8[[#This Row],[Other]]&lt;&gt;"",1,0)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B413C1-9CD6-482D-B703-C7E440742B61}" name="Table9" displayName="Table9" ref="M1:N8" totalsRowShown="0">
  <autoFilter ref="M1:N8" xr:uid="{56B413C1-9CD6-482D-B703-C7E440742B61}"/>
  <tableColumns count="2">
    <tableColumn id="1" xr3:uid="{3EB20A62-902A-4BE1-BADC-5345153B6D40}" name="Marketing Approach" dataDxfId="0"/>
    <tableColumn id="2" xr3:uid="{BD31A2DD-745C-4B21-9C5F-54B8285043D4}" name="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5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94582-00D5-4A8A-AC31-29DA48E0DD34}">
  <sheetPr codeName="Sheet1"/>
  <dimension ref="A1:G252"/>
  <sheetViews>
    <sheetView workbookViewId="0">
      <selection activeCell="G8" sqref="G8"/>
    </sheetView>
  </sheetViews>
  <sheetFormatPr defaultRowHeight="14.5" x14ac:dyDescent="0.35"/>
  <cols>
    <col min="1" max="1" width="30.54296875" customWidth="1"/>
    <col min="2" max="2" width="18.90625" customWidth="1"/>
    <col min="3" max="3" width="31.7265625" customWidth="1"/>
    <col min="7" max="7" width="10" bestFit="1" customWidth="1"/>
  </cols>
  <sheetData>
    <row r="1" spans="1:7" ht="15" thickBot="1" x14ac:dyDescent="0.4">
      <c r="A1" s="4" t="s">
        <v>0</v>
      </c>
      <c r="B1" s="4" t="s">
        <v>256</v>
      </c>
      <c r="C1" s="4" t="s">
        <v>252</v>
      </c>
      <c r="G1" s="1"/>
    </row>
    <row r="2" spans="1:7" ht="15" thickBot="1" x14ac:dyDescent="0.4">
      <c r="A2" s="1" t="s">
        <v>1</v>
      </c>
      <c r="B2" s="2">
        <v>0</v>
      </c>
      <c r="C2" s="2">
        <v>7953</v>
      </c>
      <c r="G2" s="2"/>
    </row>
    <row r="3" spans="1:7" ht="15" thickBot="1" x14ac:dyDescent="0.4">
      <c r="A3" s="1" t="s">
        <v>2</v>
      </c>
      <c r="B3" s="2">
        <v>4</v>
      </c>
      <c r="C3" s="2">
        <v>28550</v>
      </c>
      <c r="G3" s="2"/>
    </row>
    <row r="4" spans="1:7" ht="15" thickBot="1" x14ac:dyDescent="0.4">
      <c r="A4" s="1" t="s">
        <v>3</v>
      </c>
      <c r="B4" s="2">
        <v>18</v>
      </c>
      <c r="C4" s="2">
        <v>377588</v>
      </c>
      <c r="G4" s="2"/>
    </row>
    <row r="5" spans="1:7" ht="15" thickBot="1" x14ac:dyDescent="0.4">
      <c r="A5" s="1" t="s">
        <v>4</v>
      </c>
      <c r="B5" s="2">
        <v>0</v>
      </c>
      <c r="C5" s="2">
        <v>7199</v>
      </c>
      <c r="G5" s="2"/>
    </row>
    <row r="6" spans="1:7" ht="15" thickBot="1" x14ac:dyDescent="0.4">
      <c r="A6" s="1" t="s">
        <v>5</v>
      </c>
      <c r="B6" s="2">
        <v>0</v>
      </c>
      <c r="C6" s="2">
        <v>4237</v>
      </c>
      <c r="G6" s="2"/>
    </row>
    <row r="7" spans="1:7" ht="15" thickBot="1" x14ac:dyDescent="0.4">
      <c r="A7" s="1" t="s">
        <v>6</v>
      </c>
      <c r="B7" s="2">
        <v>0</v>
      </c>
      <c r="C7" s="2">
        <v>29383</v>
      </c>
      <c r="G7" s="2"/>
    </row>
    <row r="8" spans="1:7" ht="15" thickBot="1" x14ac:dyDescent="0.4">
      <c r="A8" s="1" t="s">
        <v>7</v>
      </c>
      <c r="B8" s="2">
        <v>0</v>
      </c>
      <c r="C8" s="2">
        <v>7965</v>
      </c>
      <c r="G8" s="2"/>
    </row>
    <row r="9" spans="1:7" ht="15" thickBot="1" x14ac:dyDescent="0.4">
      <c r="A9" s="1" t="s">
        <v>8</v>
      </c>
      <c r="B9" s="2">
        <v>0</v>
      </c>
      <c r="C9" s="2">
        <v>5857</v>
      </c>
      <c r="G9" s="2"/>
    </row>
    <row r="10" spans="1:7" ht="15" thickBot="1" x14ac:dyDescent="0.4">
      <c r="A10" s="1" t="s">
        <v>9</v>
      </c>
      <c r="B10" s="2">
        <v>0</v>
      </c>
      <c r="C10" s="2">
        <v>7233</v>
      </c>
      <c r="G10" s="2"/>
    </row>
    <row r="11" spans="1:7" ht="15" thickBot="1" x14ac:dyDescent="0.4">
      <c r="A11" s="1" t="s">
        <v>10</v>
      </c>
      <c r="B11" s="2">
        <v>0</v>
      </c>
      <c r="C11" s="2">
        <v>45462</v>
      </c>
      <c r="G11" s="2"/>
    </row>
    <row r="12" spans="1:7" ht="15" thickBot="1" x14ac:dyDescent="0.4">
      <c r="A12" s="1" t="s">
        <v>11</v>
      </c>
      <c r="B12" s="2">
        <v>1</v>
      </c>
      <c r="C12" s="2">
        <v>52801</v>
      </c>
      <c r="G12" s="2"/>
    </row>
    <row r="13" spans="1:7" ht="15" thickBot="1" x14ac:dyDescent="0.4">
      <c r="A13" s="1" t="s">
        <v>12</v>
      </c>
      <c r="B13" s="2">
        <v>6</v>
      </c>
      <c r="C13" s="2">
        <v>64757</v>
      </c>
      <c r="G13" s="2"/>
    </row>
    <row r="14" spans="1:7" ht="15" thickBot="1" x14ac:dyDescent="0.4">
      <c r="A14" s="1" t="s">
        <v>13</v>
      </c>
      <c r="B14" s="2">
        <v>5</v>
      </c>
      <c r="C14" s="2">
        <v>19210</v>
      </c>
      <c r="G14" s="2"/>
    </row>
    <row r="15" spans="1:7" ht="15" thickBot="1" x14ac:dyDescent="0.4">
      <c r="A15" s="1" t="s">
        <v>14</v>
      </c>
      <c r="B15" s="2">
        <v>0</v>
      </c>
      <c r="C15" s="2">
        <v>22577</v>
      </c>
      <c r="G15" s="2"/>
    </row>
    <row r="16" spans="1:7" ht="15" thickBot="1" x14ac:dyDescent="0.4">
      <c r="A16" s="1" t="s">
        <v>15</v>
      </c>
      <c r="B16" s="2">
        <v>1</v>
      </c>
      <c r="C16" s="2">
        <v>26385</v>
      </c>
      <c r="G16" s="2"/>
    </row>
    <row r="17" spans="1:7" ht="15" thickBot="1" x14ac:dyDescent="0.4">
      <c r="A17" s="1" t="s">
        <v>16</v>
      </c>
      <c r="B17" s="2">
        <v>0</v>
      </c>
      <c r="C17" s="2">
        <v>8056</v>
      </c>
      <c r="G17" s="2"/>
    </row>
    <row r="18" spans="1:7" ht="15" thickBot="1" x14ac:dyDescent="0.4">
      <c r="A18" s="1" t="s">
        <v>17</v>
      </c>
      <c r="B18" s="2">
        <v>0</v>
      </c>
      <c r="C18" s="2">
        <v>9921</v>
      </c>
      <c r="G18" s="2"/>
    </row>
    <row r="19" spans="1:7" ht="15" thickBot="1" x14ac:dyDescent="0.4">
      <c r="A19" s="1" t="s">
        <v>18</v>
      </c>
      <c r="B19" s="2">
        <v>0</v>
      </c>
      <c r="C19" s="2">
        <v>10956</v>
      </c>
      <c r="G19" s="2"/>
    </row>
    <row r="20" spans="1:7" ht="15" thickBot="1" x14ac:dyDescent="0.4">
      <c r="A20" s="1" t="s">
        <v>19</v>
      </c>
      <c r="B20" s="2">
        <v>0</v>
      </c>
      <c r="C20" s="2">
        <v>13339</v>
      </c>
      <c r="G20" s="2"/>
    </row>
    <row r="21" spans="1:7" ht="15" thickBot="1" x14ac:dyDescent="0.4">
      <c r="A21" s="1" t="s">
        <v>20</v>
      </c>
      <c r="B21" s="2">
        <v>5</v>
      </c>
      <c r="C21" s="2">
        <v>35977</v>
      </c>
      <c r="G21" s="2"/>
    </row>
    <row r="22" spans="1:7" ht="15" thickBot="1" x14ac:dyDescent="0.4">
      <c r="A22" s="1" t="s">
        <v>21</v>
      </c>
      <c r="B22" s="2">
        <v>0</v>
      </c>
      <c r="C22" s="2">
        <v>1218</v>
      </c>
      <c r="G22" s="2"/>
    </row>
    <row r="23" spans="1:7" ht="15" thickBot="1" x14ac:dyDescent="0.4">
      <c r="A23" s="1" t="s">
        <v>22</v>
      </c>
      <c r="B23" s="2">
        <v>0</v>
      </c>
      <c r="C23" s="2">
        <v>13064</v>
      </c>
      <c r="G23" s="2"/>
    </row>
    <row r="24" spans="1:7" ht="15" thickBot="1" x14ac:dyDescent="0.4">
      <c r="A24" s="1" t="s">
        <v>23</v>
      </c>
      <c r="B24" s="2">
        <v>3</v>
      </c>
      <c r="C24" s="2">
        <v>48087</v>
      </c>
      <c r="G24" s="2"/>
    </row>
    <row r="25" spans="1:7" ht="15" thickBot="1" x14ac:dyDescent="0.4">
      <c r="A25" s="1" t="s">
        <v>24</v>
      </c>
      <c r="B25" s="2">
        <v>0</v>
      </c>
      <c r="C25" s="2">
        <v>8920</v>
      </c>
      <c r="G25" s="2"/>
    </row>
    <row r="26" spans="1:7" ht="15" thickBot="1" x14ac:dyDescent="0.4">
      <c r="A26" s="1" t="s">
        <v>25</v>
      </c>
      <c r="B26" s="2">
        <v>0</v>
      </c>
      <c r="C26" s="2">
        <v>1799</v>
      </c>
      <c r="G26" s="2"/>
    </row>
    <row r="27" spans="1:7" ht="15" thickBot="1" x14ac:dyDescent="0.4">
      <c r="A27" s="1" t="s">
        <v>26</v>
      </c>
      <c r="B27" s="2">
        <v>0</v>
      </c>
      <c r="C27" s="2">
        <v>6876</v>
      </c>
      <c r="G27" s="2"/>
    </row>
    <row r="28" spans="1:7" ht="15" thickBot="1" x14ac:dyDescent="0.4">
      <c r="A28" s="1" t="s">
        <v>27</v>
      </c>
      <c r="B28" s="2">
        <v>0</v>
      </c>
      <c r="C28" s="2">
        <v>3450</v>
      </c>
      <c r="G28" s="2"/>
    </row>
    <row r="29" spans="1:7" ht="15" thickBot="1" x14ac:dyDescent="0.4">
      <c r="A29" s="1" t="s">
        <v>28</v>
      </c>
      <c r="B29" s="2">
        <v>0</v>
      </c>
      <c r="C29" s="2">
        <v>3260</v>
      </c>
      <c r="G29" s="2"/>
    </row>
    <row r="30" spans="1:7" ht="15" thickBot="1" x14ac:dyDescent="0.4">
      <c r="A30" s="1" t="s">
        <v>29</v>
      </c>
      <c r="B30" s="2">
        <v>4</v>
      </c>
      <c r="C30" s="2">
        <v>62450</v>
      </c>
      <c r="G30" s="2"/>
    </row>
    <row r="31" spans="1:7" ht="15" thickBot="1" x14ac:dyDescent="0.4">
      <c r="A31" s="1" t="s">
        <v>30</v>
      </c>
      <c r="B31" s="2">
        <v>0</v>
      </c>
      <c r="C31" s="2">
        <v>2910</v>
      </c>
      <c r="G31" s="2"/>
    </row>
    <row r="32" spans="1:7" ht="15" thickBot="1" x14ac:dyDescent="0.4">
      <c r="A32" s="1" t="s">
        <v>31</v>
      </c>
      <c r="B32" s="2">
        <v>3</v>
      </c>
      <c r="C32" s="2">
        <v>32321</v>
      </c>
      <c r="G32" s="2"/>
    </row>
    <row r="33" spans="1:7" ht="15" thickBot="1" x14ac:dyDescent="0.4">
      <c r="A33" s="1" t="s">
        <v>32</v>
      </c>
      <c r="B33" s="2">
        <v>0</v>
      </c>
      <c r="C33" s="2">
        <v>1820</v>
      </c>
      <c r="G33" s="2"/>
    </row>
    <row r="34" spans="1:7" ht="15" thickBot="1" x14ac:dyDescent="0.4">
      <c r="A34" s="1" t="s">
        <v>33</v>
      </c>
      <c r="B34" s="2">
        <v>5</v>
      </c>
      <c r="C34" s="2">
        <v>23964</v>
      </c>
      <c r="G34" s="2"/>
    </row>
    <row r="35" spans="1:7" ht="15" thickBot="1" x14ac:dyDescent="0.4">
      <c r="A35" s="1" t="s">
        <v>34</v>
      </c>
      <c r="B35" s="2">
        <v>0</v>
      </c>
      <c r="C35" s="2">
        <v>22390</v>
      </c>
      <c r="G35" s="2"/>
    </row>
    <row r="36" spans="1:7" ht="15" thickBot="1" x14ac:dyDescent="0.4">
      <c r="A36" s="1" t="s">
        <v>35</v>
      </c>
      <c r="B36" s="2">
        <v>0</v>
      </c>
      <c r="C36" s="2">
        <v>9332</v>
      </c>
      <c r="G36" s="2"/>
    </row>
    <row r="37" spans="1:7" ht="15" thickBot="1" x14ac:dyDescent="0.4">
      <c r="A37" s="1" t="s">
        <v>36</v>
      </c>
      <c r="B37" s="2">
        <v>0</v>
      </c>
      <c r="C37" s="2">
        <v>14645</v>
      </c>
      <c r="G37" s="2"/>
    </row>
    <row r="38" spans="1:7" ht="15" thickBot="1" x14ac:dyDescent="0.4">
      <c r="A38" s="1" t="s">
        <v>37</v>
      </c>
      <c r="B38" s="2">
        <v>0</v>
      </c>
      <c r="C38" s="2">
        <v>13248</v>
      </c>
      <c r="G38" s="2"/>
    </row>
    <row r="39" spans="1:7" ht="15" thickBot="1" x14ac:dyDescent="0.4">
      <c r="A39" s="1" t="s">
        <v>38</v>
      </c>
      <c r="B39" s="2">
        <v>0</v>
      </c>
      <c r="C39" s="2">
        <v>6516</v>
      </c>
      <c r="G39" s="2"/>
    </row>
    <row r="40" spans="1:7" ht="15" thickBot="1" x14ac:dyDescent="0.4">
      <c r="A40" s="1" t="s">
        <v>39</v>
      </c>
      <c r="B40" s="2">
        <v>0</v>
      </c>
      <c r="C40" s="2">
        <v>11195</v>
      </c>
      <c r="G40" s="2"/>
    </row>
    <row r="41" spans="1:7" ht="15" thickBot="1" x14ac:dyDescent="0.4">
      <c r="A41" s="1" t="s">
        <v>40</v>
      </c>
      <c r="B41" s="2">
        <v>1</v>
      </c>
      <c r="C41" s="2">
        <v>29030</v>
      </c>
      <c r="G41" s="2"/>
    </row>
    <row r="42" spans="1:7" ht="15" thickBot="1" x14ac:dyDescent="0.4">
      <c r="A42" s="1" t="s">
        <v>41</v>
      </c>
      <c r="B42" s="2">
        <v>1</v>
      </c>
      <c r="C42" s="2">
        <v>28836</v>
      </c>
      <c r="G42" s="2"/>
    </row>
    <row r="43" spans="1:7" ht="15" thickBot="1" x14ac:dyDescent="0.4">
      <c r="A43" s="1" t="s">
        <v>42</v>
      </c>
      <c r="B43" s="2">
        <v>0</v>
      </c>
      <c r="C43" s="2">
        <v>1773</v>
      </c>
      <c r="G43" s="2"/>
    </row>
    <row r="44" spans="1:7" ht="15" thickBot="1" x14ac:dyDescent="0.4">
      <c r="A44" s="1" t="s">
        <v>43</v>
      </c>
      <c r="B44" s="2">
        <v>1</v>
      </c>
      <c r="C44" s="2">
        <v>25965</v>
      </c>
      <c r="G44" s="2"/>
    </row>
    <row r="45" spans="1:7" ht="15" thickBot="1" x14ac:dyDescent="0.4">
      <c r="A45" s="1" t="s">
        <v>44</v>
      </c>
      <c r="B45" s="2">
        <v>8</v>
      </c>
      <c r="C45" s="2">
        <v>78064</v>
      </c>
      <c r="G45" s="2"/>
    </row>
    <row r="46" spans="1:7" ht="15" thickBot="1" x14ac:dyDescent="0.4">
      <c r="A46" s="1" t="s">
        <v>45</v>
      </c>
      <c r="B46" s="2">
        <v>40</v>
      </c>
      <c r="C46" s="2">
        <v>802374</v>
      </c>
      <c r="G46" s="2"/>
    </row>
    <row r="47" spans="1:7" ht="15" thickBot="1" x14ac:dyDescent="0.4">
      <c r="A47" s="1" t="s">
        <v>46</v>
      </c>
      <c r="B47" s="2">
        <v>4</v>
      </c>
      <c r="C47" s="2">
        <v>132548</v>
      </c>
      <c r="G47" s="2"/>
    </row>
    <row r="48" spans="1:7" ht="15" thickBot="1" x14ac:dyDescent="0.4">
      <c r="A48" s="1" t="s">
        <v>47</v>
      </c>
      <c r="B48" s="2">
        <v>1</v>
      </c>
      <c r="C48" s="2">
        <v>11952</v>
      </c>
      <c r="G48" s="2"/>
    </row>
    <row r="49" spans="1:7" ht="15" thickBot="1" x14ac:dyDescent="0.4">
      <c r="A49" s="1" t="s">
        <v>48</v>
      </c>
      <c r="B49" s="2">
        <v>10</v>
      </c>
      <c r="C49" s="2">
        <v>197363</v>
      </c>
      <c r="G49" s="2"/>
    </row>
    <row r="50" spans="1:7" ht="15" thickBot="1" x14ac:dyDescent="0.4">
      <c r="A50" s="1" t="s">
        <v>49</v>
      </c>
      <c r="B50" s="2">
        <v>4</v>
      </c>
      <c r="C50" s="2">
        <v>57867</v>
      </c>
      <c r="G50" s="2"/>
    </row>
    <row r="51" spans="1:7" ht="15" thickBot="1" x14ac:dyDescent="0.4">
      <c r="A51" s="1" t="s">
        <v>50</v>
      </c>
      <c r="B51" s="2">
        <v>27</v>
      </c>
      <c r="C51" s="2">
        <v>398453</v>
      </c>
      <c r="G51" s="3"/>
    </row>
    <row r="52" spans="1:7" ht="15" thickBot="1" x14ac:dyDescent="0.4">
      <c r="A52" s="1" t="s">
        <v>51</v>
      </c>
      <c r="B52" s="2">
        <v>0</v>
      </c>
      <c r="C52" s="2">
        <v>12119</v>
      </c>
      <c r="G52" s="2"/>
    </row>
    <row r="53" spans="1:7" ht="15" thickBot="1" x14ac:dyDescent="0.4">
      <c r="A53" s="1" t="s">
        <v>52</v>
      </c>
      <c r="B53" s="2">
        <v>0</v>
      </c>
      <c r="C53" s="2">
        <v>6546</v>
      </c>
      <c r="G53" s="2"/>
    </row>
    <row r="54" spans="1:7" ht="15" thickBot="1" x14ac:dyDescent="0.4">
      <c r="A54" s="1" t="s">
        <v>53</v>
      </c>
      <c r="B54" s="2">
        <v>0</v>
      </c>
      <c r="C54" s="2">
        <v>7857</v>
      </c>
      <c r="G54" s="2"/>
    </row>
    <row r="55" spans="1:7" ht="15" thickBot="1" x14ac:dyDescent="0.4">
      <c r="A55" s="1" t="s">
        <v>54</v>
      </c>
      <c r="B55" s="2">
        <v>22</v>
      </c>
      <c r="C55" s="2">
        <v>850548</v>
      </c>
      <c r="G55" s="2"/>
    </row>
    <row r="56" spans="1:7" ht="15" thickBot="1" x14ac:dyDescent="0.4">
      <c r="A56" s="1" t="s">
        <v>55</v>
      </c>
      <c r="B56" s="2">
        <v>0</v>
      </c>
      <c r="C56" s="2">
        <v>12841</v>
      </c>
      <c r="G56" s="2"/>
    </row>
    <row r="57" spans="1:7" ht="15" thickBot="1" x14ac:dyDescent="0.4">
      <c r="A57" s="1" t="s">
        <v>56</v>
      </c>
      <c r="B57" s="2">
        <v>1</v>
      </c>
      <c r="C57" s="2">
        <v>36901</v>
      </c>
      <c r="G57" s="2"/>
    </row>
    <row r="58" spans="1:7" ht="15" thickBot="1" x14ac:dyDescent="0.4">
      <c r="A58" s="1" t="s">
        <v>57</v>
      </c>
      <c r="B58" s="2">
        <v>1</v>
      </c>
      <c r="C58" s="2">
        <v>10882</v>
      </c>
      <c r="G58" s="2"/>
    </row>
    <row r="59" spans="1:7" ht="15" thickBot="1" x14ac:dyDescent="0.4">
      <c r="A59" s="1" t="s">
        <v>58</v>
      </c>
      <c r="B59" s="2">
        <v>27</v>
      </c>
      <c r="C59" s="2">
        <v>616527</v>
      </c>
      <c r="G59" s="2"/>
    </row>
    <row r="60" spans="1:7" ht="15" thickBot="1" x14ac:dyDescent="0.4">
      <c r="A60" s="1" t="s">
        <v>59</v>
      </c>
      <c r="B60" s="2">
        <v>0</v>
      </c>
      <c r="C60" s="2">
        <v>49652</v>
      </c>
      <c r="G60" s="2"/>
    </row>
    <row r="61" spans="1:7" ht="15" thickBot="1" x14ac:dyDescent="0.4">
      <c r="A61" s="1" t="s">
        <v>60</v>
      </c>
      <c r="B61" s="2">
        <v>18</v>
      </c>
      <c r="C61" s="2">
        <v>458677</v>
      </c>
      <c r="G61" s="2"/>
    </row>
    <row r="62" spans="1:7" ht="15" thickBot="1" x14ac:dyDescent="0.4">
      <c r="A62" s="1" t="s">
        <v>61</v>
      </c>
      <c r="B62" s="2">
        <v>2</v>
      </c>
      <c r="C62" s="2">
        <v>39037</v>
      </c>
      <c r="G62" s="2"/>
    </row>
    <row r="63" spans="1:7" ht="15" thickBot="1" x14ac:dyDescent="0.4">
      <c r="A63" s="1" t="s">
        <v>62</v>
      </c>
      <c r="B63" s="2">
        <v>3</v>
      </c>
      <c r="C63" s="2">
        <v>125797</v>
      </c>
      <c r="G63" s="2"/>
    </row>
    <row r="64" spans="1:7" ht="15" thickBot="1" x14ac:dyDescent="0.4">
      <c r="A64" s="1" t="s">
        <v>63</v>
      </c>
      <c r="B64" s="2">
        <v>0</v>
      </c>
      <c r="C64" s="2">
        <v>9860</v>
      </c>
      <c r="G64" s="2"/>
    </row>
    <row r="65" spans="1:7" ht="15" thickBot="1" x14ac:dyDescent="0.4">
      <c r="A65" s="1" t="s">
        <v>64</v>
      </c>
      <c r="B65" s="2">
        <v>0</v>
      </c>
      <c r="C65" s="2">
        <v>5646</v>
      </c>
      <c r="G65" s="2"/>
    </row>
    <row r="66" spans="1:7" ht="15" thickBot="1" x14ac:dyDescent="0.4">
      <c r="A66" s="1" t="s">
        <v>65</v>
      </c>
      <c r="B66" s="2">
        <v>0</v>
      </c>
      <c r="C66" s="2">
        <v>5364</v>
      </c>
      <c r="G66" s="2"/>
    </row>
    <row r="67" spans="1:7" ht="15" thickBot="1" x14ac:dyDescent="0.4">
      <c r="A67" s="1" t="s">
        <v>66</v>
      </c>
      <c r="B67" s="2">
        <v>0</v>
      </c>
      <c r="C67" s="2">
        <v>16983</v>
      </c>
      <c r="G67" s="2"/>
    </row>
    <row r="68" spans="1:7" ht="15" thickBot="1" x14ac:dyDescent="0.4">
      <c r="A68" s="1" t="s">
        <v>67</v>
      </c>
      <c r="B68" s="2">
        <v>0</v>
      </c>
      <c r="C68" s="2">
        <v>197</v>
      </c>
      <c r="G68" s="2"/>
    </row>
    <row r="69" spans="1:7" ht="15" thickBot="1" x14ac:dyDescent="0.4">
      <c r="A69" s="1" t="s">
        <v>68</v>
      </c>
      <c r="B69" s="2">
        <v>0</v>
      </c>
      <c r="C69" s="2">
        <v>30934</v>
      </c>
      <c r="G69" s="2"/>
    </row>
    <row r="70" spans="1:7" ht="15" thickBot="1" x14ac:dyDescent="0.4">
      <c r="A70" s="1" t="s">
        <v>69</v>
      </c>
      <c r="B70" s="2">
        <v>0</v>
      </c>
      <c r="C70" s="2">
        <v>20869</v>
      </c>
      <c r="G70" s="2"/>
    </row>
    <row r="71" spans="1:7" ht="15" thickBot="1" x14ac:dyDescent="0.4">
      <c r="A71" s="1" t="s">
        <v>70</v>
      </c>
      <c r="B71" s="2">
        <v>0</v>
      </c>
      <c r="C71" s="2">
        <v>4721</v>
      </c>
      <c r="G71" s="2"/>
    </row>
    <row r="72" spans="1:7" ht="15" thickBot="1" x14ac:dyDescent="0.4">
      <c r="A72" s="1" t="s">
        <v>71</v>
      </c>
      <c r="B72" s="2">
        <v>3</v>
      </c>
      <c r="C72" s="2">
        <v>63650</v>
      </c>
      <c r="G72" s="2"/>
    </row>
    <row r="73" spans="1:7" ht="15" thickBot="1" x14ac:dyDescent="0.4">
      <c r="A73" s="1" t="s">
        <v>72</v>
      </c>
      <c r="B73" s="2">
        <v>0</v>
      </c>
      <c r="C73" s="2">
        <v>48850</v>
      </c>
      <c r="G73" s="2"/>
    </row>
    <row r="74" spans="1:7" ht="15" thickBot="1" x14ac:dyDescent="0.4">
      <c r="A74" s="1" t="s">
        <v>73</v>
      </c>
      <c r="B74" s="2">
        <v>0</v>
      </c>
      <c r="C74" s="2">
        <v>7573</v>
      </c>
      <c r="G74" s="2"/>
    </row>
    <row r="75" spans="1:7" ht="15" thickBot="1" x14ac:dyDescent="0.4">
      <c r="A75" s="1" t="s">
        <v>74</v>
      </c>
      <c r="B75" s="2">
        <v>4</v>
      </c>
      <c r="C75" s="2">
        <v>97138</v>
      </c>
      <c r="G75" s="2"/>
    </row>
    <row r="76" spans="1:7" ht="15" thickBot="1" x14ac:dyDescent="0.4">
      <c r="A76" s="1" t="s">
        <v>75</v>
      </c>
      <c r="B76" s="2">
        <v>0</v>
      </c>
      <c r="C76" s="2">
        <v>3115</v>
      </c>
      <c r="G76" s="2"/>
    </row>
    <row r="77" spans="1:7" ht="15" thickBot="1" x14ac:dyDescent="0.4">
      <c r="A77" s="1" t="s">
        <v>76</v>
      </c>
      <c r="B77" s="2">
        <v>1</v>
      </c>
      <c r="C77" s="2">
        <v>66437</v>
      </c>
      <c r="G77" s="2"/>
    </row>
    <row r="78" spans="1:7" ht="15" thickBot="1" x14ac:dyDescent="0.4">
      <c r="A78" s="1" t="s">
        <v>77</v>
      </c>
      <c r="B78" s="2">
        <v>0</v>
      </c>
      <c r="C78" s="2">
        <v>5715</v>
      </c>
      <c r="G78" s="2"/>
    </row>
    <row r="79" spans="1:7" ht="15" thickBot="1" x14ac:dyDescent="0.4">
      <c r="A79" s="1" t="s">
        <v>78</v>
      </c>
      <c r="B79" s="2">
        <v>0</v>
      </c>
      <c r="C79" s="2">
        <v>4161</v>
      </c>
      <c r="G79" s="2"/>
    </row>
    <row r="80" spans="1:7" ht="15" thickBot="1" x14ac:dyDescent="0.4">
      <c r="A80" s="1" t="s">
        <v>79</v>
      </c>
      <c r="B80" s="2">
        <v>1</v>
      </c>
      <c r="C80" s="2">
        <v>51987</v>
      </c>
      <c r="G80" s="2"/>
    </row>
    <row r="81" spans="1:7" ht="15" thickBot="1" x14ac:dyDescent="0.4">
      <c r="A81" s="1" t="s">
        <v>80</v>
      </c>
      <c r="B81" s="2">
        <v>0</v>
      </c>
      <c r="C81" s="2">
        <v>10512</v>
      </c>
      <c r="G81" s="2"/>
    </row>
    <row r="82" spans="1:7" ht="15" thickBot="1" x14ac:dyDescent="0.4">
      <c r="A82" s="1" t="s">
        <v>81</v>
      </c>
      <c r="B82" s="2">
        <v>3</v>
      </c>
      <c r="C82" s="2">
        <v>28709</v>
      </c>
      <c r="G82" s="2"/>
    </row>
    <row r="83" spans="1:7" ht="15" thickBot="1" x14ac:dyDescent="0.4">
      <c r="A83" s="1" t="s">
        <v>82</v>
      </c>
      <c r="B83" s="2">
        <v>6</v>
      </c>
      <c r="C83" s="2">
        <v>84057</v>
      </c>
      <c r="G83" s="2"/>
    </row>
    <row r="84" spans="1:7" ht="15" thickBot="1" x14ac:dyDescent="0.4">
      <c r="A84" s="1" t="s">
        <v>83</v>
      </c>
      <c r="B84" s="2">
        <v>0</v>
      </c>
      <c r="C84" s="2">
        <v>10656</v>
      </c>
      <c r="G84" s="2"/>
    </row>
    <row r="85" spans="1:7" ht="15" thickBot="1" x14ac:dyDescent="0.4">
      <c r="A85" s="1" t="s">
        <v>84</v>
      </c>
      <c r="B85" s="2">
        <v>0</v>
      </c>
      <c r="C85" s="2">
        <v>11018</v>
      </c>
      <c r="G85" s="2"/>
    </row>
    <row r="86" spans="1:7" ht="15" thickBot="1" x14ac:dyDescent="0.4">
      <c r="A86" s="1" t="s">
        <v>85</v>
      </c>
      <c r="B86" s="2">
        <v>0</v>
      </c>
      <c r="C86" s="2">
        <v>3301</v>
      </c>
      <c r="G86" s="2"/>
    </row>
    <row r="87" spans="1:7" ht="15" thickBot="1" x14ac:dyDescent="0.4">
      <c r="A87" s="1" t="s">
        <v>86</v>
      </c>
      <c r="B87" s="2">
        <v>0</v>
      </c>
      <c r="C87" s="2">
        <v>24487</v>
      </c>
      <c r="G87" s="2"/>
    </row>
    <row r="88" spans="1:7" ht="15" thickBot="1" x14ac:dyDescent="0.4">
      <c r="A88" s="1" t="s">
        <v>87</v>
      </c>
      <c r="B88" s="2">
        <v>0</v>
      </c>
      <c r="C88" s="2">
        <v>9525</v>
      </c>
      <c r="G88" s="2"/>
    </row>
    <row r="89" spans="1:7" ht="15" thickBot="1" x14ac:dyDescent="0.4">
      <c r="A89" s="1" t="s">
        <v>88</v>
      </c>
      <c r="B89" s="2">
        <v>0</v>
      </c>
      <c r="C89" s="2">
        <v>7392</v>
      </c>
      <c r="G89" s="2"/>
    </row>
    <row r="90" spans="1:7" ht="15" thickBot="1" x14ac:dyDescent="0.4">
      <c r="A90" s="1" t="s">
        <v>89</v>
      </c>
      <c r="B90" s="2">
        <v>0</v>
      </c>
      <c r="C90" s="2">
        <v>12939</v>
      </c>
      <c r="G90" s="2"/>
    </row>
    <row r="91" spans="1:7" ht="15" thickBot="1" x14ac:dyDescent="0.4">
      <c r="A91" s="1" t="s">
        <v>90</v>
      </c>
      <c r="B91" s="2">
        <v>7</v>
      </c>
      <c r="C91" s="2">
        <v>161573</v>
      </c>
      <c r="G91" s="2"/>
    </row>
    <row r="92" spans="1:7" ht="15" thickBot="1" x14ac:dyDescent="0.4">
      <c r="A92" s="1" t="s">
        <v>91</v>
      </c>
      <c r="B92" s="2">
        <v>0</v>
      </c>
      <c r="C92" s="2">
        <v>36327</v>
      </c>
      <c r="G92" s="2"/>
    </row>
    <row r="93" spans="1:7" ht="15" thickBot="1" x14ac:dyDescent="0.4">
      <c r="A93" s="1" t="s">
        <v>92</v>
      </c>
      <c r="B93" s="2">
        <v>2</v>
      </c>
      <c r="C93" s="2">
        <v>40087</v>
      </c>
      <c r="G93" s="2"/>
    </row>
    <row r="94" spans="1:7" ht="15" thickBot="1" x14ac:dyDescent="0.4">
      <c r="A94" s="1" t="s">
        <v>93</v>
      </c>
      <c r="B94" s="2">
        <v>0</v>
      </c>
      <c r="C94" s="2">
        <v>3841</v>
      </c>
      <c r="G94" s="2"/>
    </row>
    <row r="95" spans="1:7" ht="15" thickBot="1" x14ac:dyDescent="0.4">
      <c r="A95" s="1" t="s">
        <v>94</v>
      </c>
      <c r="B95" s="2">
        <v>0</v>
      </c>
      <c r="C95" s="2">
        <v>2830</v>
      </c>
      <c r="G95" s="2"/>
    </row>
    <row r="96" spans="1:7" ht="15" thickBot="1" x14ac:dyDescent="0.4">
      <c r="A96" s="1" t="s">
        <v>95</v>
      </c>
      <c r="B96" s="2">
        <v>1</v>
      </c>
      <c r="C96" s="2">
        <v>6671</v>
      </c>
      <c r="G96" s="2"/>
    </row>
    <row r="97" spans="1:7" ht="15" thickBot="1" x14ac:dyDescent="0.4">
      <c r="A97" s="1" t="s">
        <v>96</v>
      </c>
      <c r="B97" s="2">
        <v>0</v>
      </c>
      <c r="C97" s="2">
        <v>5252</v>
      </c>
      <c r="G97" s="2"/>
    </row>
    <row r="98" spans="1:7" ht="15" thickBot="1" x14ac:dyDescent="0.4">
      <c r="A98" s="1" t="s">
        <v>97</v>
      </c>
      <c r="B98" s="2">
        <v>0</v>
      </c>
      <c r="C98" s="2">
        <v>13435</v>
      </c>
      <c r="G98" s="2"/>
    </row>
    <row r="99" spans="1:7" ht="15" thickBot="1" x14ac:dyDescent="0.4">
      <c r="A99" s="1" t="s">
        <v>98</v>
      </c>
      <c r="B99" s="2">
        <v>0</v>
      </c>
      <c r="C99" s="2">
        <v>9458</v>
      </c>
      <c r="G99" s="2"/>
    </row>
    <row r="100" spans="1:7" ht="15" thickBot="1" x14ac:dyDescent="0.4">
      <c r="A100" s="1" t="s">
        <v>99</v>
      </c>
      <c r="B100" s="2">
        <v>4</v>
      </c>
      <c r="C100" s="2">
        <v>43589</v>
      </c>
      <c r="G100" s="2"/>
    </row>
    <row r="101" spans="1:7" ht="15" thickBot="1" x14ac:dyDescent="0.4">
      <c r="A101" s="1" t="s">
        <v>100</v>
      </c>
      <c r="B101" s="2">
        <v>0</v>
      </c>
      <c r="C101" s="2">
        <v>2487</v>
      </c>
      <c r="G101" s="2"/>
    </row>
    <row r="102" spans="1:7" ht="15" thickBot="1" x14ac:dyDescent="0.4">
      <c r="A102" s="1" t="s">
        <v>101</v>
      </c>
      <c r="B102" s="2">
        <v>1</v>
      </c>
      <c r="C102" s="2">
        <v>42366</v>
      </c>
      <c r="G102" s="2"/>
    </row>
    <row r="103" spans="1:7" ht="15" thickBot="1" x14ac:dyDescent="0.4">
      <c r="A103" s="1" t="s">
        <v>102</v>
      </c>
      <c r="B103" s="2">
        <v>0</v>
      </c>
      <c r="C103" s="2">
        <v>1223</v>
      </c>
      <c r="G103" s="2"/>
    </row>
    <row r="104" spans="1:7" ht="15" thickBot="1" x14ac:dyDescent="0.4">
      <c r="A104" s="1" t="s">
        <v>103</v>
      </c>
      <c r="B104" s="2">
        <v>0</v>
      </c>
      <c r="C104" s="2">
        <v>13552</v>
      </c>
      <c r="G104" s="2"/>
    </row>
    <row r="105" spans="1:7" ht="15" thickBot="1" x14ac:dyDescent="0.4">
      <c r="A105" s="1" t="s">
        <v>104</v>
      </c>
      <c r="B105" s="2">
        <v>0</v>
      </c>
      <c r="C105" s="2">
        <v>22262</v>
      </c>
      <c r="G105" s="2"/>
    </row>
    <row r="106" spans="1:7" ht="15" thickBot="1" x14ac:dyDescent="0.4">
      <c r="A106" s="1" t="s">
        <v>105</v>
      </c>
      <c r="B106" s="2">
        <v>3</v>
      </c>
      <c r="C106" s="2">
        <v>27957</v>
      </c>
      <c r="G106" s="2"/>
    </row>
    <row r="107" spans="1:7" ht="15" thickBot="1" x14ac:dyDescent="0.4">
      <c r="A107" s="1" t="s">
        <v>106</v>
      </c>
      <c r="B107" s="2">
        <v>0</v>
      </c>
      <c r="C107" s="2">
        <v>10551</v>
      </c>
      <c r="G107" s="2"/>
    </row>
    <row r="108" spans="1:7" ht="15" thickBot="1" x14ac:dyDescent="0.4">
      <c r="A108" s="1" t="s">
        <v>107</v>
      </c>
      <c r="B108" s="2">
        <v>0</v>
      </c>
      <c r="C108" s="2">
        <v>7052</v>
      </c>
      <c r="G108" s="2"/>
    </row>
    <row r="109" spans="1:7" ht="15" thickBot="1" x14ac:dyDescent="0.4">
      <c r="A109" s="1" t="s">
        <v>108</v>
      </c>
      <c r="B109" s="2">
        <v>2</v>
      </c>
      <c r="C109" s="2">
        <v>13581</v>
      </c>
      <c r="G109" s="2"/>
    </row>
    <row r="110" spans="1:7" ht="15" thickBot="1" x14ac:dyDescent="0.4">
      <c r="A110" s="1" t="s">
        <v>109</v>
      </c>
      <c r="B110" s="2">
        <v>0</v>
      </c>
      <c r="C110" s="2">
        <v>4962</v>
      </c>
      <c r="G110" s="2"/>
    </row>
    <row r="111" spans="1:7" ht="15" thickBot="1" x14ac:dyDescent="0.4">
      <c r="A111" s="1" t="s">
        <v>110</v>
      </c>
      <c r="B111" s="2">
        <v>0</v>
      </c>
      <c r="C111" s="2">
        <v>15844</v>
      </c>
      <c r="G111" s="2"/>
    </row>
    <row r="112" spans="1:7" ht="15" thickBot="1" x14ac:dyDescent="0.4">
      <c r="A112" s="1" t="s">
        <v>111</v>
      </c>
      <c r="B112" s="2">
        <v>1</v>
      </c>
      <c r="C112" s="2">
        <v>15054</v>
      </c>
      <c r="G112" s="2"/>
    </row>
    <row r="113" spans="1:7" ht="15" thickBot="1" x14ac:dyDescent="0.4">
      <c r="A113" s="1" t="s">
        <v>112</v>
      </c>
      <c r="B113" s="2">
        <v>0</v>
      </c>
      <c r="C113" s="2">
        <v>12403</v>
      </c>
      <c r="G113" s="2"/>
    </row>
    <row r="114" spans="1:7" ht="15" thickBot="1" x14ac:dyDescent="0.4">
      <c r="A114" s="1" t="s">
        <v>113</v>
      </c>
      <c r="B114" s="2">
        <v>0</v>
      </c>
      <c r="C114" s="2">
        <v>34257</v>
      </c>
      <c r="G114" s="2"/>
    </row>
    <row r="115" spans="1:7" ht="15" thickBot="1" x14ac:dyDescent="0.4">
      <c r="A115" s="1" t="s">
        <v>114</v>
      </c>
      <c r="B115" s="2">
        <v>0</v>
      </c>
      <c r="C115" s="2">
        <v>6519</v>
      </c>
      <c r="G115" s="2"/>
    </row>
    <row r="116" spans="1:7" ht="15" thickBot="1" x14ac:dyDescent="0.4">
      <c r="A116" s="1" t="s">
        <v>115</v>
      </c>
      <c r="B116" s="2">
        <v>0</v>
      </c>
      <c r="C116" s="2">
        <v>6496</v>
      </c>
      <c r="G116" s="2"/>
    </row>
    <row r="117" spans="1:7" ht="15" thickBot="1" x14ac:dyDescent="0.4">
      <c r="A117" s="1" t="s">
        <v>116</v>
      </c>
      <c r="B117" s="2">
        <v>0</v>
      </c>
      <c r="C117" s="2">
        <v>7714</v>
      </c>
      <c r="G117" s="2"/>
    </row>
    <row r="118" spans="1:7" ht="15" thickBot="1" x14ac:dyDescent="0.4">
      <c r="A118" s="1" t="s">
        <v>117</v>
      </c>
      <c r="B118" s="2">
        <v>1</v>
      </c>
      <c r="C118" s="2">
        <v>51983</v>
      </c>
      <c r="G118" s="2"/>
    </row>
    <row r="119" spans="1:7" ht="15" thickBot="1" x14ac:dyDescent="0.4">
      <c r="A119" s="1" t="s">
        <v>118</v>
      </c>
      <c r="B119" s="2">
        <v>3</v>
      </c>
      <c r="C119" s="2">
        <v>187347</v>
      </c>
      <c r="G119" s="2"/>
    </row>
    <row r="120" spans="1:7" ht="15" thickBot="1" x14ac:dyDescent="0.4">
      <c r="A120" s="1" t="s">
        <v>119</v>
      </c>
      <c r="B120" s="2">
        <v>0</v>
      </c>
      <c r="C120" s="2">
        <v>39872</v>
      </c>
      <c r="G120" s="2"/>
    </row>
    <row r="121" spans="1:7" ht="15" thickBot="1" x14ac:dyDescent="0.4">
      <c r="A121" s="1" t="s">
        <v>120</v>
      </c>
      <c r="B121" s="2">
        <v>0</v>
      </c>
      <c r="C121" s="2">
        <v>4744</v>
      </c>
      <c r="G121" s="2"/>
    </row>
    <row r="122" spans="1:7" ht="15" thickBot="1" x14ac:dyDescent="0.4">
      <c r="A122" s="1" t="s">
        <v>121</v>
      </c>
      <c r="B122" s="2">
        <v>0</v>
      </c>
      <c r="C122" s="2">
        <v>57268</v>
      </c>
      <c r="G122" s="2"/>
    </row>
    <row r="123" spans="1:7" ht="15" thickBot="1" x14ac:dyDescent="0.4">
      <c r="A123" s="1" t="s">
        <v>122</v>
      </c>
      <c r="B123" s="2">
        <v>0</v>
      </c>
      <c r="C123" s="2">
        <v>5647</v>
      </c>
      <c r="G123" s="2"/>
    </row>
    <row r="124" spans="1:7" ht="15" thickBot="1" x14ac:dyDescent="0.4">
      <c r="A124" s="1" t="s">
        <v>123</v>
      </c>
      <c r="B124" s="2">
        <v>5</v>
      </c>
      <c r="C124" s="2">
        <v>121246</v>
      </c>
      <c r="G124" s="2"/>
    </row>
    <row r="125" spans="1:7" ht="15" thickBot="1" x14ac:dyDescent="0.4">
      <c r="A125" s="1" t="s">
        <v>124</v>
      </c>
      <c r="B125" s="2">
        <v>4</v>
      </c>
      <c r="C125" s="2">
        <v>89595</v>
      </c>
      <c r="G125" s="2"/>
    </row>
    <row r="126" spans="1:7" ht="15" thickBot="1" x14ac:dyDescent="0.4">
      <c r="A126" s="1" t="s">
        <v>125</v>
      </c>
      <c r="B126" s="2">
        <v>5</v>
      </c>
      <c r="C126" s="2">
        <v>34705</v>
      </c>
      <c r="G126" s="2"/>
    </row>
    <row r="127" spans="1:7" ht="15" thickBot="1" x14ac:dyDescent="0.4">
      <c r="A127" s="1" t="s">
        <v>126</v>
      </c>
      <c r="B127" s="2">
        <v>1</v>
      </c>
      <c r="C127" s="2">
        <v>29380</v>
      </c>
      <c r="G127" s="2"/>
    </row>
    <row r="128" spans="1:7" ht="15" thickBot="1" x14ac:dyDescent="0.4">
      <c r="A128" s="1" t="s">
        <v>127</v>
      </c>
      <c r="B128" s="2">
        <v>0</v>
      </c>
      <c r="C128" s="2">
        <v>16194</v>
      </c>
      <c r="G128" s="2"/>
    </row>
    <row r="129" spans="1:7" ht="15" thickBot="1" x14ac:dyDescent="0.4">
      <c r="A129" s="1" t="s">
        <v>128</v>
      </c>
      <c r="B129" s="2">
        <v>5</v>
      </c>
      <c r="C129" s="2">
        <v>135275</v>
      </c>
      <c r="G129" s="2"/>
    </row>
    <row r="130" spans="1:7" ht="15" thickBot="1" x14ac:dyDescent="0.4">
      <c r="A130" s="1" t="s">
        <v>129</v>
      </c>
      <c r="B130" s="2">
        <v>0</v>
      </c>
      <c r="C130" s="2">
        <v>7677</v>
      </c>
      <c r="G130" s="2"/>
    </row>
    <row r="131" spans="1:7" ht="15" thickBot="1" x14ac:dyDescent="0.4">
      <c r="A131" s="1" t="s">
        <v>130</v>
      </c>
      <c r="B131" s="2">
        <v>0</v>
      </c>
      <c r="C131" s="2">
        <v>18769</v>
      </c>
      <c r="G131" s="2"/>
    </row>
    <row r="132" spans="1:7" ht="15" thickBot="1" x14ac:dyDescent="0.4">
      <c r="A132" s="1" t="s">
        <v>131</v>
      </c>
      <c r="B132" s="2">
        <v>0</v>
      </c>
      <c r="C132" s="2">
        <v>18949</v>
      </c>
      <c r="G132" s="2"/>
    </row>
    <row r="133" spans="1:7" ht="15" thickBot="1" x14ac:dyDescent="0.4">
      <c r="A133" s="1" t="s">
        <v>132</v>
      </c>
      <c r="B133" s="2">
        <v>8</v>
      </c>
      <c r="C133" s="2">
        <v>111419</v>
      </c>
      <c r="G133" s="2"/>
    </row>
    <row r="134" spans="1:7" ht="15" thickBot="1" x14ac:dyDescent="0.4">
      <c r="A134" s="1" t="s">
        <v>133</v>
      </c>
      <c r="B134" s="2">
        <v>0</v>
      </c>
      <c r="C134" s="2">
        <v>881</v>
      </c>
      <c r="G134" s="2"/>
    </row>
    <row r="135" spans="1:7" ht="15" thickBot="1" x14ac:dyDescent="0.4">
      <c r="A135" s="1" t="s">
        <v>134</v>
      </c>
      <c r="B135" s="2">
        <v>3</v>
      </c>
      <c r="C135" s="2">
        <v>66501</v>
      </c>
      <c r="G135" s="2"/>
    </row>
    <row r="136" spans="1:7" ht="15" thickBot="1" x14ac:dyDescent="0.4">
      <c r="A136" s="1" t="s">
        <v>135</v>
      </c>
      <c r="B136" s="2">
        <v>0</v>
      </c>
      <c r="C136" s="2">
        <v>13056</v>
      </c>
      <c r="G136" s="2"/>
    </row>
    <row r="137" spans="1:7" ht="15" thickBot="1" x14ac:dyDescent="0.4">
      <c r="A137" s="1" t="s">
        <v>136</v>
      </c>
      <c r="B137" s="2">
        <v>0</v>
      </c>
      <c r="C137" s="2">
        <v>19478</v>
      </c>
      <c r="G137" s="2"/>
    </row>
    <row r="138" spans="1:7" ht="15" thickBot="1" x14ac:dyDescent="0.4">
      <c r="A138" s="1" t="s">
        <v>137</v>
      </c>
      <c r="B138" s="2">
        <v>0</v>
      </c>
      <c r="C138" s="2">
        <v>11943</v>
      </c>
      <c r="G138" s="2"/>
    </row>
    <row r="139" spans="1:7" ht="15" thickBot="1" x14ac:dyDescent="0.4">
      <c r="A139" s="1" t="s">
        <v>138</v>
      </c>
      <c r="B139" s="2">
        <v>1</v>
      </c>
      <c r="C139" s="2">
        <v>30912</v>
      </c>
      <c r="G139" s="2"/>
    </row>
    <row r="140" spans="1:7" ht="15" thickBot="1" x14ac:dyDescent="0.4">
      <c r="A140" s="1" t="s">
        <v>139</v>
      </c>
      <c r="B140" s="2">
        <v>0</v>
      </c>
      <c r="C140" s="2">
        <v>66771</v>
      </c>
      <c r="G140" s="2"/>
    </row>
    <row r="141" spans="1:7" ht="15" thickBot="1" x14ac:dyDescent="0.4">
      <c r="A141" s="1" t="s">
        <v>140</v>
      </c>
      <c r="B141" s="2">
        <v>2</v>
      </c>
      <c r="C141" s="2">
        <v>33407</v>
      </c>
      <c r="G141" s="2"/>
    </row>
    <row r="142" spans="1:7" ht="15" thickBot="1" x14ac:dyDescent="0.4">
      <c r="A142" s="1" t="s">
        <v>141</v>
      </c>
      <c r="B142" s="2">
        <v>0</v>
      </c>
      <c r="C142" s="2">
        <v>3893</v>
      </c>
      <c r="G142" s="2"/>
    </row>
    <row r="143" spans="1:7" ht="15" thickBot="1" x14ac:dyDescent="0.4">
      <c r="A143" s="1" t="s">
        <v>142</v>
      </c>
      <c r="B143" s="2">
        <v>1</v>
      </c>
      <c r="C143" s="2">
        <v>19183</v>
      </c>
      <c r="G143" s="2"/>
    </row>
    <row r="144" spans="1:7" ht="15" thickBot="1" x14ac:dyDescent="0.4">
      <c r="A144" s="1" t="s">
        <v>143</v>
      </c>
      <c r="B144" s="2">
        <v>0</v>
      </c>
      <c r="C144" s="2">
        <v>4944</v>
      </c>
      <c r="G144" s="2"/>
    </row>
    <row r="145" spans="1:7" ht="15" thickBot="1" x14ac:dyDescent="0.4">
      <c r="A145" s="1" t="s">
        <v>144</v>
      </c>
      <c r="B145" s="2">
        <v>5</v>
      </c>
      <c r="C145" s="2">
        <v>145137</v>
      </c>
      <c r="G145" s="2"/>
    </row>
    <row r="146" spans="1:7" ht="15" thickBot="1" x14ac:dyDescent="0.4">
      <c r="A146" s="1" t="s">
        <v>145</v>
      </c>
      <c r="B146" s="2">
        <v>3</v>
      </c>
      <c r="C146" s="2">
        <v>23770</v>
      </c>
      <c r="G146" s="2"/>
    </row>
    <row r="147" spans="1:7" ht="15" thickBot="1" x14ac:dyDescent="0.4">
      <c r="A147" s="1" t="s">
        <v>146</v>
      </c>
      <c r="B147" s="2">
        <v>3</v>
      </c>
      <c r="C147" s="2">
        <v>60681</v>
      </c>
      <c r="G147" s="2"/>
    </row>
    <row r="148" spans="1:7" ht="15" thickBot="1" x14ac:dyDescent="0.4">
      <c r="A148" s="1" t="s">
        <v>147</v>
      </c>
      <c r="B148" s="2">
        <v>3</v>
      </c>
      <c r="C148" s="2">
        <v>27608</v>
      </c>
      <c r="G148" s="2"/>
    </row>
    <row r="149" spans="1:7" ht="15" thickBot="1" x14ac:dyDescent="0.4">
      <c r="A149" s="1" t="s">
        <v>148</v>
      </c>
      <c r="B149" s="2">
        <v>4</v>
      </c>
      <c r="C149" s="2">
        <v>180783</v>
      </c>
      <c r="G149" s="2"/>
    </row>
    <row r="150" spans="1:7" ht="15" thickBot="1" x14ac:dyDescent="0.4">
      <c r="A150" s="1" t="s">
        <v>149</v>
      </c>
      <c r="B150" s="2">
        <v>1</v>
      </c>
      <c r="C150" s="2">
        <v>9462</v>
      </c>
      <c r="G150" s="2"/>
    </row>
    <row r="151" spans="1:7" ht="15" thickBot="1" x14ac:dyDescent="0.4">
      <c r="A151" s="1" t="s">
        <v>150</v>
      </c>
      <c r="B151" s="2">
        <v>0</v>
      </c>
      <c r="C151" s="2">
        <v>9729</v>
      </c>
      <c r="G151" s="2"/>
    </row>
    <row r="152" spans="1:7" ht="15" thickBot="1" x14ac:dyDescent="0.4">
      <c r="A152" s="1" t="s">
        <v>151</v>
      </c>
      <c r="B152" s="2">
        <v>0</v>
      </c>
      <c r="C152" s="2">
        <v>12055</v>
      </c>
      <c r="G152" s="2"/>
    </row>
    <row r="153" spans="1:7" ht="15" thickBot="1" x14ac:dyDescent="0.4">
      <c r="A153" s="1" t="s">
        <v>152</v>
      </c>
      <c r="B153" s="2">
        <v>0</v>
      </c>
      <c r="C153" s="2">
        <v>6277</v>
      </c>
      <c r="G153" s="2"/>
    </row>
    <row r="154" spans="1:7" ht="15" thickBot="1" x14ac:dyDescent="0.4">
      <c r="A154" s="1" t="s">
        <v>153</v>
      </c>
      <c r="B154" s="2">
        <v>0</v>
      </c>
      <c r="C154" s="2">
        <v>14642</v>
      </c>
      <c r="G154" s="2"/>
    </row>
    <row r="155" spans="1:7" ht="15" thickBot="1" x14ac:dyDescent="0.4">
      <c r="A155" s="1" t="s">
        <v>154</v>
      </c>
      <c r="B155" s="2">
        <v>0</v>
      </c>
      <c r="C155" s="2">
        <v>4116</v>
      </c>
      <c r="G155" s="2"/>
    </row>
    <row r="156" spans="1:7" ht="15" thickBot="1" x14ac:dyDescent="0.4">
      <c r="A156" s="1" t="s">
        <v>155</v>
      </c>
      <c r="B156" s="2">
        <v>0</v>
      </c>
      <c r="C156" s="2">
        <v>5809</v>
      </c>
      <c r="G156" s="2"/>
    </row>
    <row r="157" spans="1:7" ht="15" thickBot="1" x14ac:dyDescent="0.4">
      <c r="A157" s="1" t="s">
        <v>156</v>
      </c>
      <c r="B157" s="2">
        <v>0</v>
      </c>
      <c r="C157" s="2">
        <v>52404</v>
      </c>
      <c r="G157" s="2"/>
    </row>
    <row r="158" spans="1:7" ht="15" thickBot="1" x14ac:dyDescent="0.4">
      <c r="A158" s="1" t="s">
        <v>157</v>
      </c>
      <c r="B158" s="2">
        <v>0</v>
      </c>
      <c r="C158" s="2">
        <v>8073</v>
      </c>
      <c r="G158" s="2"/>
    </row>
    <row r="159" spans="1:7" ht="15" thickBot="1" x14ac:dyDescent="0.4">
      <c r="A159" s="1" t="s">
        <v>158</v>
      </c>
      <c r="B159" s="2">
        <v>0</v>
      </c>
      <c r="C159" s="2">
        <v>11158</v>
      </c>
      <c r="G159" s="2"/>
    </row>
    <row r="160" spans="1:7" ht="15" thickBot="1" x14ac:dyDescent="0.4">
      <c r="A160" s="1" t="s">
        <v>159</v>
      </c>
      <c r="B160" s="2">
        <v>3</v>
      </c>
      <c r="C160" s="2">
        <v>55506</v>
      </c>
      <c r="G160" s="2"/>
    </row>
    <row r="161" spans="1:7" ht="15" thickBot="1" x14ac:dyDescent="0.4">
      <c r="A161" s="1" t="s">
        <v>160</v>
      </c>
      <c r="B161" s="2">
        <v>5</v>
      </c>
      <c r="C161" s="2">
        <v>86074</v>
      </c>
      <c r="G161" s="2"/>
    </row>
    <row r="162" spans="1:7" ht="15" thickBot="1" x14ac:dyDescent="0.4">
      <c r="A162" s="1" t="s">
        <v>161</v>
      </c>
      <c r="B162" s="2">
        <v>2</v>
      </c>
      <c r="C162" s="2">
        <v>14467</v>
      </c>
      <c r="G162" s="2"/>
    </row>
    <row r="163" spans="1:7" ht="15" thickBot="1" x14ac:dyDescent="0.4">
      <c r="A163" s="1" t="s">
        <v>162</v>
      </c>
      <c r="B163" s="2">
        <v>0</v>
      </c>
      <c r="C163" s="2">
        <v>5785</v>
      </c>
      <c r="G163" s="2"/>
    </row>
    <row r="164" spans="1:7" ht="15" thickBot="1" x14ac:dyDescent="0.4">
      <c r="A164" s="1" t="s">
        <v>163</v>
      </c>
      <c r="B164" s="2">
        <v>0</v>
      </c>
      <c r="C164" s="2">
        <v>6560</v>
      </c>
      <c r="G164" s="2"/>
    </row>
    <row r="165" spans="1:7" ht="15" thickBot="1" x14ac:dyDescent="0.4">
      <c r="A165" s="1" t="s">
        <v>164</v>
      </c>
      <c r="B165" s="2">
        <v>0</v>
      </c>
      <c r="C165" s="2">
        <v>4376</v>
      </c>
      <c r="G165" s="2"/>
    </row>
    <row r="166" spans="1:7" ht="15" thickBot="1" x14ac:dyDescent="0.4">
      <c r="A166" s="1" t="s">
        <v>165</v>
      </c>
      <c r="B166" s="2">
        <v>0</v>
      </c>
      <c r="C166" s="2">
        <v>722</v>
      </c>
      <c r="G166" s="2"/>
    </row>
    <row r="167" spans="1:7" ht="15" thickBot="1" x14ac:dyDescent="0.4">
      <c r="A167" s="1" t="s">
        <v>166</v>
      </c>
      <c r="B167" s="2">
        <v>0</v>
      </c>
      <c r="C167" s="2">
        <v>5539</v>
      </c>
      <c r="G167" s="2"/>
    </row>
    <row r="168" spans="1:7" ht="15" thickBot="1" x14ac:dyDescent="0.4">
      <c r="A168" s="1" t="s">
        <v>167</v>
      </c>
      <c r="B168" s="2">
        <v>0</v>
      </c>
      <c r="C168" s="2">
        <v>8739</v>
      </c>
      <c r="G168" s="2"/>
    </row>
    <row r="169" spans="1:7" ht="15" thickBot="1" x14ac:dyDescent="0.4">
      <c r="A169" s="1" t="s">
        <v>168</v>
      </c>
      <c r="B169" s="2">
        <v>0</v>
      </c>
      <c r="C169" s="2">
        <v>2597</v>
      </c>
      <c r="G169" s="2"/>
    </row>
    <row r="170" spans="1:7" ht="15" thickBot="1" x14ac:dyDescent="0.4">
      <c r="A170" s="1" t="s">
        <v>169</v>
      </c>
      <c r="B170" s="2">
        <v>0</v>
      </c>
      <c r="C170" s="2">
        <v>4283</v>
      </c>
      <c r="G170" s="2"/>
    </row>
    <row r="171" spans="1:7" ht="15" thickBot="1" x14ac:dyDescent="0.4">
      <c r="A171" s="1" t="s">
        <v>170</v>
      </c>
      <c r="B171" s="2">
        <v>0</v>
      </c>
      <c r="C171" s="2">
        <v>29575</v>
      </c>
      <c r="G171" s="2"/>
    </row>
    <row r="172" spans="1:7" ht="15" thickBot="1" x14ac:dyDescent="0.4">
      <c r="A172" s="1" t="s">
        <v>171</v>
      </c>
      <c r="B172" s="2">
        <v>0</v>
      </c>
      <c r="C172" s="2">
        <v>19050</v>
      </c>
      <c r="G172" s="2"/>
    </row>
    <row r="173" spans="1:7" ht="15" thickBot="1" x14ac:dyDescent="0.4">
      <c r="A173" s="1" t="s">
        <v>172</v>
      </c>
      <c r="B173" s="2">
        <v>0</v>
      </c>
      <c r="C173" s="2">
        <v>10213</v>
      </c>
      <c r="G173" s="2"/>
    </row>
    <row r="174" spans="1:7" ht="15" thickBot="1" x14ac:dyDescent="0.4">
      <c r="A174" s="1" t="s">
        <v>173</v>
      </c>
      <c r="B174" s="2">
        <v>0</v>
      </c>
      <c r="C174" s="2">
        <v>7660</v>
      </c>
      <c r="G174" s="2"/>
    </row>
    <row r="175" spans="1:7" ht="15" thickBot="1" x14ac:dyDescent="0.4">
      <c r="A175" s="1" t="s">
        <v>174</v>
      </c>
      <c r="B175" s="2">
        <v>0</v>
      </c>
      <c r="C175" s="2">
        <v>10719</v>
      </c>
      <c r="G175" s="2"/>
    </row>
    <row r="176" spans="1:7" ht="15" thickBot="1" x14ac:dyDescent="0.4">
      <c r="A176" s="1" t="s">
        <v>175</v>
      </c>
      <c r="B176" s="2">
        <v>0</v>
      </c>
      <c r="C176" s="2">
        <v>10862</v>
      </c>
      <c r="G176" s="2"/>
    </row>
    <row r="177" spans="1:7" ht="15" thickBot="1" x14ac:dyDescent="0.4">
      <c r="A177" s="1" t="s">
        <v>176</v>
      </c>
      <c r="B177" s="2">
        <v>0</v>
      </c>
      <c r="C177" s="2">
        <v>23885</v>
      </c>
      <c r="G177" s="2"/>
    </row>
    <row r="178" spans="1:7" ht="15" thickBot="1" x14ac:dyDescent="0.4">
      <c r="A178" s="1" t="s">
        <v>177</v>
      </c>
      <c r="B178" s="2">
        <v>1</v>
      </c>
      <c r="C178" s="2">
        <v>5492</v>
      </c>
      <c r="G178" s="2"/>
    </row>
    <row r="179" spans="1:7" ht="15" thickBot="1" x14ac:dyDescent="0.4">
      <c r="A179" s="1" t="s">
        <v>178</v>
      </c>
      <c r="B179" s="2">
        <v>4</v>
      </c>
      <c r="C179" s="2">
        <v>19614</v>
      </c>
      <c r="G179" s="2"/>
    </row>
    <row r="180" spans="1:7" ht="15" thickBot="1" x14ac:dyDescent="0.4">
      <c r="A180" s="1" t="s">
        <v>179</v>
      </c>
      <c r="B180" s="2">
        <v>2</v>
      </c>
      <c r="C180" s="2">
        <v>8794</v>
      </c>
      <c r="G180" s="2"/>
    </row>
    <row r="181" spans="1:7" ht="15" thickBot="1" x14ac:dyDescent="0.4">
      <c r="A181" s="1" t="s">
        <v>180</v>
      </c>
      <c r="B181" s="2">
        <v>1</v>
      </c>
      <c r="C181" s="2">
        <v>2572</v>
      </c>
      <c r="G181" s="2"/>
    </row>
    <row r="182" spans="1:7" ht="15" thickBot="1" x14ac:dyDescent="0.4">
      <c r="A182" s="1" t="s">
        <v>181</v>
      </c>
      <c r="B182" s="2">
        <v>0</v>
      </c>
      <c r="C182" s="2">
        <v>7770</v>
      </c>
      <c r="G182" s="2"/>
    </row>
    <row r="183" spans="1:7" ht="15" thickBot="1" x14ac:dyDescent="0.4">
      <c r="A183" s="1" t="s">
        <v>182</v>
      </c>
      <c r="B183" s="2">
        <v>5</v>
      </c>
      <c r="C183" s="2">
        <v>35336</v>
      </c>
      <c r="G183" s="2"/>
    </row>
    <row r="184" spans="1:7" ht="15" thickBot="1" x14ac:dyDescent="0.4">
      <c r="A184" s="1" t="s">
        <v>183</v>
      </c>
      <c r="B184" s="2">
        <v>0</v>
      </c>
      <c r="C184" s="2">
        <v>9001</v>
      </c>
      <c r="G184" s="2"/>
    </row>
    <row r="185" spans="1:7" ht="15" thickBot="1" x14ac:dyDescent="0.4">
      <c r="A185" s="1" t="s">
        <v>184</v>
      </c>
      <c r="B185" s="2">
        <v>1</v>
      </c>
      <c r="C185" s="2">
        <v>55698</v>
      </c>
      <c r="G185" s="2"/>
    </row>
    <row r="186" spans="1:7" ht="15" thickBot="1" x14ac:dyDescent="0.4">
      <c r="A186" s="1" t="s">
        <v>185</v>
      </c>
      <c r="B186" s="2">
        <v>1</v>
      </c>
      <c r="C186" s="2">
        <v>47944</v>
      </c>
      <c r="G186" s="2"/>
    </row>
    <row r="187" spans="1:7" ht="15" thickBot="1" x14ac:dyDescent="0.4">
      <c r="A187" s="1" t="s">
        <v>186</v>
      </c>
      <c r="B187" s="2">
        <v>0</v>
      </c>
      <c r="C187" s="2">
        <v>23846</v>
      </c>
      <c r="G187" s="2"/>
    </row>
    <row r="188" spans="1:7" ht="15" thickBot="1" x14ac:dyDescent="0.4">
      <c r="A188" s="1" t="s">
        <v>187</v>
      </c>
      <c r="B188" s="2">
        <v>0</v>
      </c>
      <c r="C188" s="2">
        <v>12081</v>
      </c>
      <c r="G188" s="2"/>
    </row>
    <row r="189" spans="1:7" ht="15" thickBot="1" x14ac:dyDescent="0.4">
      <c r="A189" s="1" t="s">
        <v>188</v>
      </c>
      <c r="B189" s="2">
        <v>5</v>
      </c>
      <c r="C189" s="2">
        <v>106237</v>
      </c>
      <c r="G189" s="2"/>
    </row>
    <row r="190" spans="1:7" ht="15" thickBot="1" x14ac:dyDescent="0.4">
      <c r="A190" s="1" t="s">
        <v>189</v>
      </c>
      <c r="B190" s="2">
        <v>4</v>
      </c>
      <c r="C190" s="2">
        <v>79499</v>
      </c>
      <c r="G190" s="2"/>
    </row>
    <row r="191" spans="1:7" ht="15" thickBot="1" x14ac:dyDescent="0.4">
      <c r="A191" s="1" t="s">
        <v>190</v>
      </c>
      <c r="B191" s="2">
        <v>9</v>
      </c>
      <c r="C191" s="2">
        <v>39569</v>
      </c>
      <c r="G191" s="2"/>
    </row>
    <row r="192" spans="1:7" ht="15" thickBot="1" x14ac:dyDescent="0.4">
      <c r="A192" s="1" t="s">
        <v>191</v>
      </c>
      <c r="B192" s="2">
        <v>2</v>
      </c>
      <c r="C192" s="2">
        <v>12414</v>
      </c>
      <c r="G192" s="2"/>
    </row>
    <row r="193" spans="1:7" ht="15" thickBot="1" x14ac:dyDescent="0.4">
      <c r="A193" s="1" t="s">
        <v>192</v>
      </c>
      <c r="B193" s="2">
        <v>7</v>
      </c>
      <c r="C193" s="2">
        <v>34499</v>
      </c>
      <c r="G193" s="2"/>
    </row>
    <row r="194" spans="1:7" ht="15" thickBot="1" x14ac:dyDescent="0.4">
      <c r="A194" s="1" t="s">
        <v>193</v>
      </c>
      <c r="B194" s="2">
        <v>0</v>
      </c>
      <c r="C194" s="2">
        <v>20925</v>
      </c>
      <c r="G194" s="2"/>
    </row>
    <row r="195" spans="1:7" ht="15" thickBot="1" x14ac:dyDescent="0.4">
      <c r="A195" s="1" t="s">
        <v>194</v>
      </c>
      <c r="B195" s="2">
        <v>0</v>
      </c>
      <c r="C195" s="2">
        <v>8140</v>
      </c>
      <c r="G195" s="2"/>
    </row>
    <row r="196" spans="1:7" ht="15" thickBot="1" x14ac:dyDescent="0.4">
      <c r="A196" s="1" t="s">
        <v>195</v>
      </c>
      <c r="B196" s="2">
        <v>1</v>
      </c>
      <c r="C196" s="2">
        <v>3332</v>
      </c>
      <c r="G196" s="2"/>
    </row>
    <row r="197" spans="1:7" ht="15" thickBot="1" x14ac:dyDescent="0.4">
      <c r="A197" s="1" t="s">
        <v>196</v>
      </c>
      <c r="B197" s="2">
        <v>0</v>
      </c>
      <c r="C197" s="2">
        <v>14543</v>
      </c>
      <c r="G197" s="2"/>
    </row>
    <row r="198" spans="1:7" ht="15" thickBot="1" x14ac:dyDescent="0.4">
      <c r="A198" s="1" t="s">
        <v>197</v>
      </c>
      <c r="B198" s="2">
        <v>0</v>
      </c>
      <c r="C198" s="2">
        <v>2746</v>
      </c>
      <c r="G198" s="2"/>
    </row>
    <row r="199" spans="1:7" ht="15" thickBot="1" x14ac:dyDescent="0.4">
      <c r="A199" s="1" t="s">
        <v>198</v>
      </c>
      <c r="B199" s="2">
        <v>0</v>
      </c>
      <c r="C199" s="2">
        <v>4587</v>
      </c>
      <c r="G199" s="2"/>
    </row>
    <row r="200" spans="1:7" ht="15" thickBot="1" x14ac:dyDescent="0.4">
      <c r="A200" s="1" t="s">
        <v>199</v>
      </c>
      <c r="B200" s="2">
        <v>0</v>
      </c>
      <c r="C200" s="2">
        <v>20582</v>
      </c>
      <c r="G200" s="2"/>
    </row>
    <row r="201" spans="1:7" ht="15" thickBot="1" x14ac:dyDescent="0.4">
      <c r="A201" s="1" t="s">
        <v>200</v>
      </c>
      <c r="B201" s="2">
        <v>1</v>
      </c>
      <c r="C201" s="2">
        <v>37478</v>
      </c>
      <c r="G201" s="2"/>
    </row>
    <row r="202" spans="1:7" ht="15" thickBot="1" x14ac:dyDescent="0.4">
      <c r="A202" s="1" t="s">
        <v>201</v>
      </c>
      <c r="B202" s="2">
        <v>0</v>
      </c>
      <c r="C202" s="2">
        <v>13512</v>
      </c>
      <c r="G202" s="2"/>
    </row>
    <row r="203" spans="1:7" ht="15" thickBot="1" x14ac:dyDescent="0.4">
      <c r="A203" s="1" t="s">
        <v>202</v>
      </c>
      <c r="B203" s="2">
        <v>1</v>
      </c>
      <c r="C203" s="2">
        <v>7900</v>
      </c>
      <c r="G203" s="2"/>
    </row>
    <row r="204" spans="1:7" ht="15" thickBot="1" x14ac:dyDescent="0.4">
      <c r="A204" s="1" t="s">
        <v>203</v>
      </c>
      <c r="B204" s="2">
        <v>0</v>
      </c>
      <c r="C204" s="2">
        <v>17111</v>
      </c>
      <c r="G204" s="2"/>
    </row>
    <row r="205" spans="1:7" ht="15" thickBot="1" x14ac:dyDescent="0.4">
      <c r="A205" s="1" t="s">
        <v>204</v>
      </c>
      <c r="B205" s="2">
        <v>0</v>
      </c>
      <c r="C205" s="2">
        <v>34585</v>
      </c>
      <c r="G205" s="2"/>
    </row>
    <row r="206" spans="1:7" ht="15" thickBot="1" x14ac:dyDescent="0.4">
      <c r="A206" s="1" t="s">
        <v>205</v>
      </c>
      <c r="B206" s="2">
        <v>2</v>
      </c>
      <c r="C206" s="2">
        <v>42523</v>
      </c>
      <c r="G206" s="2"/>
    </row>
    <row r="207" spans="1:7" ht="15" thickBot="1" x14ac:dyDescent="0.4">
      <c r="A207" s="1" t="s">
        <v>206</v>
      </c>
      <c r="B207" s="2">
        <v>0</v>
      </c>
      <c r="C207" s="2">
        <v>10225</v>
      </c>
      <c r="G207" s="2"/>
    </row>
    <row r="208" spans="1:7" ht="15" thickBot="1" x14ac:dyDescent="0.4">
      <c r="A208" s="1" t="s">
        <v>207</v>
      </c>
      <c r="B208" s="2">
        <v>0</v>
      </c>
      <c r="C208" s="2">
        <v>5145</v>
      </c>
      <c r="G208" s="2"/>
    </row>
    <row r="209" spans="1:7" ht="15" thickBot="1" x14ac:dyDescent="0.4">
      <c r="A209" s="1" t="s">
        <v>208</v>
      </c>
      <c r="B209" s="2">
        <v>1</v>
      </c>
      <c r="C209" s="2">
        <v>32311</v>
      </c>
      <c r="G209" s="2"/>
    </row>
    <row r="210" spans="1:7" ht="15" thickBot="1" x14ac:dyDescent="0.4">
      <c r="A210" s="1" t="s">
        <v>209</v>
      </c>
      <c r="B210" s="2">
        <v>5</v>
      </c>
      <c r="C210" s="2">
        <v>49423</v>
      </c>
      <c r="G210" s="2"/>
    </row>
    <row r="211" spans="1:7" ht="15" thickBot="1" x14ac:dyDescent="0.4">
      <c r="A211" s="1" t="s">
        <v>210</v>
      </c>
      <c r="B211" s="2">
        <v>2</v>
      </c>
      <c r="C211" s="2">
        <v>145747</v>
      </c>
      <c r="G211" s="2"/>
    </row>
    <row r="212" spans="1:7" ht="15" thickBot="1" x14ac:dyDescent="0.4">
      <c r="A212" s="1" t="s">
        <v>211</v>
      </c>
      <c r="B212" s="2">
        <v>0</v>
      </c>
      <c r="C212" s="2">
        <v>16446</v>
      </c>
      <c r="G212" s="2"/>
    </row>
    <row r="213" spans="1:7" ht="15" thickBot="1" x14ac:dyDescent="0.4">
      <c r="A213" s="1" t="s">
        <v>212</v>
      </c>
      <c r="B213" s="2">
        <v>0</v>
      </c>
      <c r="C213" s="2">
        <v>13269</v>
      </c>
      <c r="G213" s="2"/>
    </row>
    <row r="214" spans="1:7" ht="15" thickBot="1" x14ac:dyDescent="0.4">
      <c r="A214" s="1" t="s">
        <v>213</v>
      </c>
      <c r="B214" s="2">
        <v>1</v>
      </c>
      <c r="C214" s="2">
        <v>6150</v>
      </c>
      <c r="G214" s="2"/>
    </row>
    <row r="215" spans="1:7" ht="15" thickBot="1" x14ac:dyDescent="0.4">
      <c r="A215" s="1" t="s">
        <v>214</v>
      </c>
      <c r="B215" s="2">
        <v>9</v>
      </c>
      <c r="C215" s="2">
        <v>240131</v>
      </c>
      <c r="G215" s="2"/>
    </row>
    <row r="216" spans="1:7" ht="15" thickBot="1" x14ac:dyDescent="0.4">
      <c r="A216" s="1" t="s">
        <v>215</v>
      </c>
      <c r="B216" s="2">
        <v>6</v>
      </c>
      <c r="C216" s="2">
        <v>69709</v>
      </c>
      <c r="G216" s="2"/>
    </row>
    <row r="217" spans="1:7" ht="15" thickBot="1" x14ac:dyDescent="0.4">
      <c r="A217" s="1" t="s">
        <v>216</v>
      </c>
      <c r="B217" s="2">
        <v>0</v>
      </c>
      <c r="C217" s="2">
        <v>40141</v>
      </c>
      <c r="G217" s="2"/>
    </row>
    <row r="218" spans="1:7" ht="15" thickBot="1" x14ac:dyDescent="0.4">
      <c r="A218" s="1" t="s">
        <v>217</v>
      </c>
      <c r="B218" s="2">
        <v>0</v>
      </c>
      <c r="C218" s="2">
        <v>18268</v>
      </c>
      <c r="G218" s="2"/>
    </row>
    <row r="219" spans="1:7" ht="15" thickBot="1" x14ac:dyDescent="0.4">
      <c r="A219" s="1" t="s">
        <v>218</v>
      </c>
      <c r="B219" s="2">
        <v>0</v>
      </c>
      <c r="C219" s="2">
        <v>9286</v>
      </c>
      <c r="G219" s="2"/>
    </row>
    <row r="220" spans="1:7" ht="15" thickBot="1" x14ac:dyDescent="0.4">
      <c r="A220" s="1" t="s">
        <v>219</v>
      </c>
      <c r="B220" s="2">
        <v>0</v>
      </c>
      <c r="C220" s="2">
        <v>9281</v>
      </c>
      <c r="G220" s="2"/>
    </row>
    <row r="221" spans="1:7" ht="15" thickBot="1" x14ac:dyDescent="0.4">
      <c r="A221" s="1" t="s">
        <v>220</v>
      </c>
      <c r="B221" s="2">
        <v>0</v>
      </c>
      <c r="C221" s="2">
        <v>31664</v>
      </c>
      <c r="G221" s="2"/>
    </row>
    <row r="222" spans="1:7" ht="15" thickBot="1" x14ac:dyDescent="0.4">
      <c r="A222" s="1" t="s">
        <v>221</v>
      </c>
      <c r="B222" s="2">
        <v>0</v>
      </c>
      <c r="C222" s="2">
        <v>14712</v>
      </c>
      <c r="G222" s="2"/>
    </row>
    <row r="223" spans="1:7" ht="15" thickBot="1" x14ac:dyDescent="0.4">
      <c r="A223" s="1" t="s">
        <v>222</v>
      </c>
      <c r="B223" s="2">
        <v>19</v>
      </c>
      <c r="C223" s="2">
        <v>441815</v>
      </c>
      <c r="G223" s="2"/>
    </row>
    <row r="224" spans="1:7" ht="15" thickBot="1" x14ac:dyDescent="0.4">
      <c r="A224" s="1" t="s">
        <v>223</v>
      </c>
      <c r="B224" s="2">
        <v>2</v>
      </c>
      <c r="C224" s="2">
        <v>45997</v>
      </c>
      <c r="G224" s="2"/>
    </row>
    <row r="225" spans="1:7" ht="15" thickBot="1" x14ac:dyDescent="0.4">
      <c r="A225" s="1" t="s">
        <v>224</v>
      </c>
      <c r="B225" s="2">
        <v>4</v>
      </c>
      <c r="C225" s="2">
        <v>54807</v>
      </c>
      <c r="G225" s="2"/>
    </row>
    <row r="226" spans="1:7" ht="15" thickBot="1" x14ac:dyDescent="0.4">
      <c r="A226" s="1" t="s">
        <v>225</v>
      </c>
      <c r="B226" s="2">
        <v>0</v>
      </c>
      <c r="C226" s="2">
        <v>24453</v>
      </c>
      <c r="G226" s="2"/>
    </row>
    <row r="227" spans="1:7" ht="15" thickBot="1" x14ac:dyDescent="0.4">
      <c r="A227" s="1" t="s">
        <v>226</v>
      </c>
      <c r="B227" s="2">
        <v>2</v>
      </c>
      <c r="C227" s="2">
        <v>12615</v>
      </c>
      <c r="G227" s="2"/>
    </row>
    <row r="228" spans="1:7" ht="15" thickBot="1" x14ac:dyDescent="0.4">
      <c r="A228" s="1" t="s">
        <v>227</v>
      </c>
      <c r="B228" s="2">
        <v>2</v>
      </c>
      <c r="C228" s="2">
        <v>34150</v>
      </c>
      <c r="G228" s="2"/>
    </row>
    <row r="229" spans="1:7" ht="15" thickBot="1" x14ac:dyDescent="0.4">
      <c r="A229" s="1" t="s">
        <v>228</v>
      </c>
      <c r="B229" s="2">
        <v>0</v>
      </c>
      <c r="C229" s="2">
        <v>11702</v>
      </c>
      <c r="G229" s="2"/>
    </row>
    <row r="230" spans="1:7" ht="15" thickBot="1" x14ac:dyDescent="0.4">
      <c r="A230" s="1" t="s">
        <v>229</v>
      </c>
      <c r="B230" s="2">
        <v>0</v>
      </c>
      <c r="C230" s="2">
        <v>27195</v>
      </c>
      <c r="G230" s="2"/>
    </row>
    <row r="231" spans="1:7" ht="15" thickBot="1" x14ac:dyDescent="0.4">
      <c r="A231" s="1" t="s">
        <v>230</v>
      </c>
      <c r="B231" s="2">
        <v>0</v>
      </c>
      <c r="C231" s="2">
        <v>1074</v>
      </c>
      <c r="G231" s="2"/>
    </row>
    <row r="232" spans="1:7" ht="15" thickBot="1" x14ac:dyDescent="0.4">
      <c r="A232" s="1" t="s">
        <v>231</v>
      </c>
      <c r="B232" s="2">
        <v>5</v>
      </c>
      <c r="C232" s="2">
        <v>148414</v>
      </c>
      <c r="G232" s="2"/>
    </row>
    <row r="233" spans="1:7" ht="15" thickBot="1" x14ac:dyDescent="0.4">
      <c r="A233" s="1" t="s">
        <v>232</v>
      </c>
      <c r="B233" s="2">
        <v>6</v>
      </c>
      <c r="C233" s="2">
        <v>61778</v>
      </c>
      <c r="G233" s="2"/>
    </row>
    <row r="234" spans="1:7" ht="15" thickBot="1" x14ac:dyDescent="0.4">
      <c r="A234" s="1" t="s">
        <v>233</v>
      </c>
      <c r="B234" s="2">
        <v>1</v>
      </c>
      <c r="C234" s="2">
        <v>56628</v>
      </c>
      <c r="G234" s="2"/>
    </row>
    <row r="235" spans="1:7" ht="15" thickBot="1" x14ac:dyDescent="0.4">
      <c r="A235" s="1" t="s">
        <v>234</v>
      </c>
      <c r="B235" s="2">
        <v>0</v>
      </c>
      <c r="C235" s="2">
        <v>10363</v>
      </c>
      <c r="G235" s="2"/>
    </row>
    <row r="236" spans="1:7" ht="15" thickBot="1" x14ac:dyDescent="0.4">
      <c r="A236" s="1" t="s">
        <v>235</v>
      </c>
      <c r="B236" s="2">
        <v>0</v>
      </c>
      <c r="C236" s="2">
        <v>20623</v>
      </c>
      <c r="G236" s="2"/>
    </row>
    <row r="237" spans="1:7" ht="15" thickBot="1" x14ac:dyDescent="0.4">
      <c r="A237" s="1" t="s">
        <v>236</v>
      </c>
      <c r="B237" s="2">
        <v>6</v>
      </c>
      <c r="C237" s="2">
        <v>103658</v>
      </c>
      <c r="G237" s="2"/>
    </row>
    <row r="238" spans="1:7" ht="15" thickBot="1" x14ac:dyDescent="0.4">
      <c r="A238" s="1" t="s">
        <v>237</v>
      </c>
      <c r="B238" s="2">
        <v>0</v>
      </c>
      <c r="C238" s="2">
        <v>6293</v>
      </c>
      <c r="G238" s="2"/>
    </row>
    <row r="239" spans="1:7" ht="15" thickBot="1" x14ac:dyDescent="0.4">
      <c r="A239" s="1" t="s">
        <v>238</v>
      </c>
      <c r="B239" s="2">
        <v>0</v>
      </c>
      <c r="C239" s="2">
        <v>4945</v>
      </c>
      <c r="G239" s="2"/>
    </row>
    <row r="240" spans="1:7" ht="15" thickBot="1" x14ac:dyDescent="0.4">
      <c r="A240" s="1" t="s">
        <v>239</v>
      </c>
      <c r="B240" s="2">
        <v>0</v>
      </c>
      <c r="C240" s="2">
        <v>90764</v>
      </c>
      <c r="G240" s="2"/>
    </row>
    <row r="241" spans="1:7" ht="15" thickBot="1" x14ac:dyDescent="0.4">
      <c r="A241" s="1" t="s">
        <v>240</v>
      </c>
      <c r="B241" s="2">
        <v>0</v>
      </c>
      <c r="C241" s="2">
        <v>32680</v>
      </c>
      <c r="G241" s="2"/>
    </row>
    <row r="242" spans="1:7" ht="15" thickBot="1" x14ac:dyDescent="0.4">
      <c r="A242" s="1" t="s">
        <v>241</v>
      </c>
      <c r="B242" s="2">
        <v>1</v>
      </c>
      <c r="C242" s="2">
        <v>9825</v>
      </c>
      <c r="G242" s="2"/>
    </row>
    <row r="243" spans="1:7" ht="15" thickBot="1" x14ac:dyDescent="0.4">
      <c r="A243" s="1" t="s">
        <v>242</v>
      </c>
      <c r="B243" s="2">
        <v>0</v>
      </c>
      <c r="C243" s="2">
        <v>12753</v>
      </c>
      <c r="G243" s="2"/>
    </row>
    <row r="244" spans="1:7" ht="15" thickBot="1" x14ac:dyDescent="0.4">
      <c r="A244" s="1" t="s">
        <v>243</v>
      </c>
      <c r="B244" s="2">
        <v>5</v>
      </c>
      <c r="C244" s="2">
        <v>31833</v>
      </c>
      <c r="G244" s="2"/>
    </row>
    <row r="245" spans="1:7" ht="15" thickBot="1" x14ac:dyDescent="0.4">
      <c r="A245" s="1" t="s">
        <v>244</v>
      </c>
      <c r="B245" s="2">
        <v>4</v>
      </c>
      <c r="C245" s="2">
        <v>65424</v>
      </c>
      <c r="G245" s="2"/>
    </row>
    <row r="246" spans="1:7" ht="15" thickBot="1" x14ac:dyDescent="0.4">
      <c r="A246" s="1" t="s">
        <v>245</v>
      </c>
      <c r="B246" s="2">
        <v>1</v>
      </c>
      <c r="C246" s="2">
        <v>25220</v>
      </c>
      <c r="G246" s="2"/>
    </row>
    <row r="247" spans="1:7" ht="15" thickBot="1" x14ac:dyDescent="0.4">
      <c r="A247" s="1" t="s">
        <v>246</v>
      </c>
      <c r="B247" s="2">
        <v>1</v>
      </c>
      <c r="C247" s="2">
        <v>62158</v>
      </c>
      <c r="G247" s="2"/>
    </row>
    <row r="248" spans="1:7" ht="15" thickBot="1" x14ac:dyDescent="0.4">
      <c r="A248" s="1" t="s">
        <v>247</v>
      </c>
      <c r="B248" s="2">
        <v>0</v>
      </c>
      <c r="C248" s="2">
        <v>6399</v>
      </c>
      <c r="G248" s="2"/>
    </row>
    <row r="249" spans="1:7" ht="15" thickBot="1" x14ac:dyDescent="0.4">
      <c r="A249" s="1" t="s">
        <v>248</v>
      </c>
      <c r="B249" s="2">
        <v>0</v>
      </c>
      <c r="C249" s="2">
        <v>2317</v>
      </c>
      <c r="G249" s="2"/>
    </row>
    <row r="250" spans="1:7" ht="15" thickBot="1" x14ac:dyDescent="0.4">
      <c r="A250" s="1" t="s">
        <v>249</v>
      </c>
      <c r="B250" s="2">
        <v>2</v>
      </c>
      <c r="C250" s="2">
        <v>59689</v>
      </c>
      <c r="G250" s="2"/>
    </row>
    <row r="251" spans="1:7" ht="15" thickBot="1" x14ac:dyDescent="0.4">
      <c r="A251" s="1" t="s">
        <v>250</v>
      </c>
      <c r="B251" s="2">
        <v>0</v>
      </c>
      <c r="C251" s="2">
        <v>9192</v>
      </c>
      <c r="G251" s="2"/>
    </row>
    <row r="252" spans="1:7" ht="15" thickBot="1" x14ac:dyDescent="0.4">
      <c r="A252" s="1" t="s">
        <v>251</v>
      </c>
      <c r="B252" s="2">
        <v>14</v>
      </c>
      <c r="C252" s="2">
        <v>238823</v>
      </c>
      <c r="G252" s="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820BF-8A62-4D99-9431-74790F35A74F}">
  <sheetPr codeName="Sheet2"/>
  <dimension ref="A1:D252"/>
  <sheetViews>
    <sheetView workbookViewId="0">
      <selection activeCell="I30" sqref="I30"/>
    </sheetView>
  </sheetViews>
  <sheetFormatPr defaultRowHeight="14.5" x14ac:dyDescent="0.35"/>
  <cols>
    <col min="1" max="1" width="21.81640625" customWidth="1"/>
    <col min="2" max="2" width="30.7265625" customWidth="1"/>
    <col min="3" max="3" width="33.453125" customWidth="1"/>
    <col min="4" max="4" width="30.6328125" customWidth="1"/>
  </cols>
  <sheetData>
    <row r="1" spans="1:4" ht="15" thickBot="1" x14ac:dyDescent="0.4">
      <c r="A1" s="4" t="s">
        <v>0</v>
      </c>
      <c r="B1" s="4" t="s">
        <v>253</v>
      </c>
      <c r="C1" s="4" t="s">
        <v>254</v>
      </c>
      <c r="D1" s="4" t="s">
        <v>255</v>
      </c>
    </row>
    <row r="2" spans="1:4" ht="15" thickBot="1" x14ac:dyDescent="0.4">
      <c r="A2" s="1" t="s">
        <v>1</v>
      </c>
      <c r="B2" s="2">
        <v>2290</v>
      </c>
      <c r="C2" s="2">
        <v>724</v>
      </c>
      <c r="D2" s="2">
        <v>3014</v>
      </c>
    </row>
    <row r="3" spans="1:4" ht="15" thickBot="1" x14ac:dyDescent="0.4">
      <c r="A3" s="1" t="s">
        <v>2</v>
      </c>
      <c r="B3" s="2">
        <v>8184</v>
      </c>
      <c r="C3" s="2">
        <v>3269</v>
      </c>
      <c r="D3" s="2">
        <v>11453</v>
      </c>
    </row>
    <row r="4" spans="1:4" ht="15" thickBot="1" x14ac:dyDescent="0.4">
      <c r="A4" s="1" t="s">
        <v>3</v>
      </c>
      <c r="B4" s="2">
        <v>240309</v>
      </c>
      <c r="C4" s="2">
        <v>66608</v>
      </c>
      <c r="D4" s="2">
        <v>306917</v>
      </c>
    </row>
    <row r="5" spans="1:4" ht="15" thickBot="1" x14ac:dyDescent="0.4">
      <c r="A5" s="1" t="s">
        <v>4</v>
      </c>
      <c r="B5" s="2">
        <v>2491</v>
      </c>
      <c r="C5" s="2">
        <v>1099</v>
      </c>
      <c r="D5" s="2">
        <v>3590</v>
      </c>
    </row>
    <row r="6" spans="1:4" ht="15" thickBot="1" x14ac:dyDescent="0.4">
      <c r="A6" s="1" t="s">
        <v>5</v>
      </c>
      <c r="B6" s="2">
        <v>599</v>
      </c>
      <c r="C6" s="2">
        <v>177</v>
      </c>
      <c r="D6" s="2">
        <v>776</v>
      </c>
    </row>
    <row r="7" spans="1:4" ht="15" thickBot="1" x14ac:dyDescent="0.4">
      <c r="A7" s="1" t="s">
        <v>6</v>
      </c>
      <c r="B7" s="2">
        <v>10368</v>
      </c>
      <c r="C7" s="2">
        <v>1959</v>
      </c>
      <c r="D7" s="2">
        <v>12327</v>
      </c>
    </row>
    <row r="8" spans="1:4" ht="15" thickBot="1" x14ac:dyDescent="0.4">
      <c r="A8" s="1" t="s">
        <v>7</v>
      </c>
      <c r="B8" s="2">
        <v>2972</v>
      </c>
      <c r="C8" s="2">
        <v>677</v>
      </c>
      <c r="D8" s="2">
        <v>3649</v>
      </c>
    </row>
    <row r="9" spans="1:4" ht="15" thickBot="1" x14ac:dyDescent="0.4">
      <c r="A9" s="1" t="s">
        <v>8</v>
      </c>
      <c r="B9" s="2">
        <v>2321</v>
      </c>
      <c r="C9" s="2">
        <v>824</v>
      </c>
      <c r="D9" s="2">
        <v>3145</v>
      </c>
    </row>
    <row r="10" spans="1:4" ht="15" thickBot="1" x14ac:dyDescent="0.4">
      <c r="A10" s="1" t="s">
        <v>9</v>
      </c>
      <c r="B10" s="2">
        <v>7169</v>
      </c>
      <c r="C10" s="2">
        <v>614</v>
      </c>
      <c r="D10" s="2">
        <v>7783</v>
      </c>
    </row>
    <row r="11" spans="1:4" ht="15" thickBot="1" x14ac:dyDescent="0.4">
      <c r="A11" s="1" t="s">
        <v>10</v>
      </c>
      <c r="B11" s="2">
        <v>9676</v>
      </c>
      <c r="C11" s="2">
        <v>3787</v>
      </c>
      <c r="D11" s="2">
        <v>13463</v>
      </c>
    </row>
    <row r="12" spans="1:4" ht="15" thickBot="1" x14ac:dyDescent="0.4">
      <c r="A12" s="1" t="s">
        <v>11</v>
      </c>
      <c r="B12" s="2">
        <v>23583</v>
      </c>
      <c r="C12" s="2">
        <v>8475</v>
      </c>
      <c r="D12" s="2">
        <v>32058</v>
      </c>
    </row>
    <row r="13" spans="1:4" ht="15" thickBot="1" x14ac:dyDescent="0.4">
      <c r="A13" s="1" t="s">
        <v>12</v>
      </c>
      <c r="B13" s="2">
        <v>36219</v>
      </c>
      <c r="C13" s="2">
        <v>6848</v>
      </c>
      <c r="D13" s="2">
        <v>43067</v>
      </c>
    </row>
    <row r="14" spans="1:4" ht="15" thickBot="1" x14ac:dyDescent="0.4">
      <c r="A14" s="1" t="s">
        <v>13</v>
      </c>
      <c r="B14" s="2">
        <v>16485</v>
      </c>
      <c r="C14" s="2">
        <v>4937</v>
      </c>
      <c r="D14" s="2">
        <v>21422</v>
      </c>
    </row>
    <row r="15" spans="1:4" ht="15" thickBot="1" x14ac:dyDescent="0.4">
      <c r="A15" s="1" t="s">
        <v>14</v>
      </c>
      <c r="B15" s="2">
        <v>26737</v>
      </c>
      <c r="C15" s="2">
        <v>5806</v>
      </c>
      <c r="D15" s="2">
        <v>32543</v>
      </c>
    </row>
    <row r="16" spans="1:4" ht="15" thickBot="1" x14ac:dyDescent="0.4">
      <c r="A16" s="1" t="s">
        <v>15</v>
      </c>
      <c r="B16" s="2">
        <v>17396</v>
      </c>
      <c r="C16" s="2">
        <v>3983</v>
      </c>
      <c r="D16" s="2">
        <v>21379</v>
      </c>
    </row>
    <row r="17" spans="1:4" ht="15" thickBot="1" x14ac:dyDescent="0.4">
      <c r="A17" s="1" t="s">
        <v>16</v>
      </c>
      <c r="B17" s="2">
        <v>3936</v>
      </c>
      <c r="C17" s="2">
        <v>1210</v>
      </c>
      <c r="D17" s="2">
        <v>5146</v>
      </c>
    </row>
    <row r="18" spans="1:4" ht="15" thickBot="1" x14ac:dyDescent="0.4">
      <c r="A18" s="1" t="s">
        <v>17</v>
      </c>
      <c r="B18" s="2">
        <v>2608</v>
      </c>
      <c r="C18" s="2">
        <v>299</v>
      </c>
      <c r="D18" s="2">
        <v>2907</v>
      </c>
    </row>
    <row r="19" spans="1:4" ht="15" thickBot="1" x14ac:dyDescent="0.4">
      <c r="A19" s="1" t="s">
        <v>18</v>
      </c>
      <c r="B19" s="2">
        <v>1262</v>
      </c>
      <c r="C19" s="2">
        <v>520</v>
      </c>
      <c r="D19" s="2">
        <v>1782</v>
      </c>
    </row>
    <row r="20" spans="1:4" ht="15" thickBot="1" x14ac:dyDescent="0.4">
      <c r="A20" s="1" t="s">
        <v>19</v>
      </c>
      <c r="B20" s="2">
        <v>5511</v>
      </c>
      <c r="C20" s="2">
        <v>1851</v>
      </c>
      <c r="D20" s="2">
        <v>7362</v>
      </c>
    </row>
    <row r="21" spans="1:4" ht="15" thickBot="1" x14ac:dyDescent="0.4">
      <c r="A21" s="1" t="s">
        <v>20</v>
      </c>
      <c r="B21" s="2">
        <v>6375</v>
      </c>
      <c r="C21" s="2">
        <v>1266</v>
      </c>
      <c r="D21" s="2">
        <v>7641</v>
      </c>
    </row>
    <row r="22" spans="1:4" ht="15" thickBot="1" x14ac:dyDescent="0.4">
      <c r="A22" s="1" t="s">
        <v>21</v>
      </c>
      <c r="B22" s="2">
        <v>2669</v>
      </c>
      <c r="C22" s="2">
        <v>1801</v>
      </c>
      <c r="D22" s="2">
        <v>4470</v>
      </c>
    </row>
    <row r="23" spans="1:4" ht="15" thickBot="1" x14ac:dyDescent="0.4">
      <c r="A23" s="1" t="s">
        <v>22</v>
      </c>
      <c r="B23" s="2">
        <v>22222</v>
      </c>
      <c r="C23" s="2">
        <v>3954</v>
      </c>
      <c r="D23" s="2">
        <v>26176</v>
      </c>
    </row>
    <row r="24" spans="1:4" ht="15" thickBot="1" x14ac:dyDescent="0.4">
      <c r="A24" s="1" t="s">
        <v>23</v>
      </c>
      <c r="B24" s="2">
        <v>13693</v>
      </c>
      <c r="C24" s="2">
        <v>2398</v>
      </c>
      <c r="D24" s="2">
        <v>16091</v>
      </c>
    </row>
    <row r="25" spans="1:4" ht="15" thickBot="1" x14ac:dyDescent="0.4">
      <c r="A25" s="1" t="s">
        <v>24</v>
      </c>
      <c r="B25" s="2">
        <v>8493</v>
      </c>
      <c r="C25" s="2">
        <v>2592</v>
      </c>
      <c r="D25" s="2">
        <v>11085</v>
      </c>
    </row>
    <row r="26" spans="1:4" ht="15" thickBot="1" x14ac:dyDescent="0.4">
      <c r="A26" s="1" t="s">
        <v>25</v>
      </c>
      <c r="B26" s="2">
        <v>517</v>
      </c>
      <c r="C26" s="2">
        <v>131</v>
      </c>
      <c r="D26" s="2">
        <v>648</v>
      </c>
    </row>
    <row r="27" spans="1:4" ht="15" thickBot="1" x14ac:dyDescent="0.4">
      <c r="A27" s="1" t="s">
        <v>26</v>
      </c>
      <c r="B27" s="2">
        <v>3057</v>
      </c>
      <c r="C27" s="2">
        <v>986</v>
      </c>
      <c r="D27" s="2">
        <v>4043</v>
      </c>
    </row>
    <row r="28" spans="1:4" ht="15" thickBot="1" x14ac:dyDescent="0.4">
      <c r="A28" s="1" t="s">
        <v>27</v>
      </c>
      <c r="B28" s="2">
        <v>812</v>
      </c>
      <c r="C28" s="2">
        <v>158</v>
      </c>
      <c r="D28" s="2">
        <v>970</v>
      </c>
    </row>
    <row r="29" spans="1:4" ht="15" thickBot="1" x14ac:dyDescent="0.4">
      <c r="A29" s="1" t="s">
        <v>28</v>
      </c>
      <c r="B29" s="2">
        <v>4897</v>
      </c>
      <c r="C29" s="2">
        <v>542</v>
      </c>
      <c r="D29" s="2">
        <v>5439</v>
      </c>
    </row>
    <row r="30" spans="1:4" ht="15" thickBot="1" x14ac:dyDescent="0.4">
      <c r="A30" s="1" t="s">
        <v>29</v>
      </c>
      <c r="B30" s="2">
        <v>12625</v>
      </c>
      <c r="C30" s="2">
        <v>4188</v>
      </c>
      <c r="D30" s="2">
        <v>16813</v>
      </c>
    </row>
    <row r="31" spans="1:4" ht="15" thickBot="1" x14ac:dyDescent="0.4">
      <c r="A31" s="1" t="s">
        <v>30</v>
      </c>
      <c r="B31" s="2">
        <v>2517</v>
      </c>
      <c r="C31" s="2">
        <v>595</v>
      </c>
      <c r="D31" s="2">
        <v>3112</v>
      </c>
    </row>
    <row r="32" spans="1:4" ht="15" thickBot="1" x14ac:dyDescent="0.4">
      <c r="A32" s="1" t="s">
        <v>31</v>
      </c>
      <c r="B32" s="2">
        <v>10069</v>
      </c>
      <c r="C32" s="2">
        <v>3169</v>
      </c>
      <c r="D32" s="2">
        <v>13238</v>
      </c>
    </row>
    <row r="33" spans="1:4" ht="15" thickBot="1" x14ac:dyDescent="0.4">
      <c r="A33" s="1" t="s">
        <v>32</v>
      </c>
      <c r="B33" s="2">
        <v>758</v>
      </c>
      <c r="C33" s="2">
        <v>322</v>
      </c>
      <c r="D33" s="2">
        <v>1080</v>
      </c>
    </row>
    <row r="34" spans="1:4" ht="15" thickBot="1" x14ac:dyDescent="0.4">
      <c r="A34" s="1" t="s">
        <v>33</v>
      </c>
      <c r="B34" s="2">
        <v>24116</v>
      </c>
      <c r="C34" s="2">
        <v>20558</v>
      </c>
      <c r="D34" s="2">
        <v>44674</v>
      </c>
    </row>
    <row r="35" spans="1:4" ht="15" thickBot="1" x14ac:dyDescent="0.4">
      <c r="A35" s="1" t="s">
        <v>34</v>
      </c>
      <c r="B35" s="2">
        <v>9239</v>
      </c>
      <c r="C35" s="2">
        <v>6231</v>
      </c>
      <c r="D35" s="2">
        <v>15470</v>
      </c>
    </row>
    <row r="36" spans="1:4" ht="15" thickBot="1" x14ac:dyDescent="0.4">
      <c r="A36" s="1" t="s">
        <v>35</v>
      </c>
      <c r="B36" s="2">
        <v>3911</v>
      </c>
      <c r="C36" s="2">
        <v>398</v>
      </c>
      <c r="D36" s="2">
        <v>4309</v>
      </c>
    </row>
    <row r="37" spans="1:4" ht="15" thickBot="1" x14ac:dyDescent="0.4">
      <c r="A37" s="1" t="s">
        <v>36</v>
      </c>
      <c r="B37" s="2">
        <v>3379</v>
      </c>
      <c r="C37" s="2">
        <v>1471</v>
      </c>
      <c r="D37" s="2">
        <v>4850</v>
      </c>
    </row>
    <row r="38" spans="1:4" ht="15" thickBot="1" x14ac:dyDescent="0.4">
      <c r="A38" s="1" t="s">
        <v>37</v>
      </c>
      <c r="B38" s="2">
        <v>7352</v>
      </c>
      <c r="C38" s="2">
        <v>1082</v>
      </c>
      <c r="D38" s="2">
        <v>8434</v>
      </c>
    </row>
    <row r="39" spans="1:4" ht="15" thickBot="1" x14ac:dyDescent="0.4">
      <c r="A39" s="1" t="s">
        <v>38</v>
      </c>
      <c r="B39" s="2">
        <v>1329</v>
      </c>
      <c r="C39" s="2">
        <v>612</v>
      </c>
      <c r="D39" s="2">
        <v>1941</v>
      </c>
    </row>
    <row r="40" spans="1:4" ht="15" thickBot="1" x14ac:dyDescent="0.4">
      <c r="A40" s="1" t="s">
        <v>39</v>
      </c>
      <c r="B40" s="2">
        <v>10164</v>
      </c>
      <c r="C40" s="2">
        <v>1123</v>
      </c>
      <c r="D40" s="2">
        <v>11287</v>
      </c>
    </row>
    <row r="41" spans="1:4" ht="15" thickBot="1" x14ac:dyDescent="0.4">
      <c r="A41" s="1" t="s">
        <v>40</v>
      </c>
      <c r="B41" s="2">
        <v>7312</v>
      </c>
      <c r="C41" s="2">
        <v>1835</v>
      </c>
      <c r="D41" s="2">
        <v>9147</v>
      </c>
    </row>
    <row r="42" spans="1:4" ht="15" thickBot="1" x14ac:dyDescent="0.4">
      <c r="A42" s="1" t="s">
        <v>41</v>
      </c>
      <c r="B42" s="2">
        <v>9161</v>
      </c>
      <c r="C42" s="2">
        <v>3387</v>
      </c>
      <c r="D42" s="2">
        <v>12548</v>
      </c>
    </row>
    <row r="43" spans="1:4" ht="15" thickBot="1" x14ac:dyDescent="0.4">
      <c r="A43" s="1" t="s">
        <v>42</v>
      </c>
      <c r="B43" s="2">
        <v>3853</v>
      </c>
      <c r="C43" s="2">
        <v>984</v>
      </c>
      <c r="D43" s="2">
        <v>4837</v>
      </c>
    </row>
    <row r="44" spans="1:4" ht="15" thickBot="1" x14ac:dyDescent="0.4">
      <c r="A44" s="1" t="s">
        <v>43</v>
      </c>
      <c r="B44" s="2">
        <v>15189</v>
      </c>
      <c r="C44" s="2">
        <v>4005</v>
      </c>
      <c r="D44" s="2">
        <v>19194</v>
      </c>
    </row>
    <row r="45" spans="1:4" ht="15" thickBot="1" x14ac:dyDescent="0.4">
      <c r="A45" s="1" t="s">
        <v>44</v>
      </c>
      <c r="B45" s="2">
        <v>18130</v>
      </c>
      <c r="C45" s="2">
        <v>5094</v>
      </c>
      <c r="D45" s="2">
        <v>23224</v>
      </c>
    </row>
    <row r="46" spans="1:4" ht="15" thickBot="1" x14ac:dyDescent="0.4">
      <c r="A46" s="1" t="s">
        <v>45</v>
      </c>
      <c r="B46" s="2">
        <v>350976</v>
      </c>
      <c r="C46" s="2">
        <v>114582</v>
      </c>
      <c r="D46" s="2">
        <v>465558</v>
      </c>
    </row>
    <row r="47" spans="1:4" ht="15" thickBot="1" x14ac:dyDescent="0.4">
      <c r="A47" s="1" t="s">
        <v>46</v>
      </c>
      <c r="B47" s="2">
        <v>58882</v>
      </c>
      <c r="C47" s="2">
        <v>19128</v>
      </c>
      <c r="D47" s="2">
        <v>78010</v>
      </c>
    </row>
    <row r="48" spans="1:4" ht="15" thickBot="1" x14ac:dyDescent="0.4">
      <c r="A48" s="1" t="s">
        <v>47</v>
      </c>
      <c r="B48" s="2">
        <v>4054</v>
      </c>
      <c r="C48" s="2">
        <v>1925</v>
      </c>
      <c r="D48" s="2">
        <v>5979</v>
      </c>
    </row>
    <row r="49" spans="1:4" ht="15" thickBot="1" x14ac:dyDescent="0.4">
      <c r="A49" s="1" t="s">
        <v>48</v>
      </c>
      <c r="B49" s="2">
        <v>92946</v>
      </c>
      <c r="C49" s="2">
        <v>34622</v>
      </c>
      <c r="D49" s="2">
        <v>127568</v>
      </c>
    </row>
    <row r="50" spans="1:4" ht="15" thickBot="1" x14ac:dyDescent="0.4">
      <c r="A50" s="1" t="s">
        <v>49</v>
      </c>
      <c r="B50" s="2">
        <v>37434</v>
      </c>
      <c r="C50" s="2">
        <v>7955</v>
      </c>
      <c r="D50" s="2">
        <v>45389</v>
      </c>
    </row>
    <row r="51" spans="1:4" ht="15" thickBot="1" x14ac:dyDescent="0.4">
      <c r="A51" s="1" t="s">
        <v>50</v>
      </c>
      <c r="B51" s="2">
        <v>225233</v>
      </c>
      <c r="C51" s="2">
        <v>60157</v>
      </c>
      <c r="D51" s="2">
        <v>285390</v>
      </c>
    </row>
    <row r="52" spans="1:4" ht="15" thickBot="1" x14ac:dyDescent="0.4">
      <c r="A52" s="1" t="s">
        <v>51</v>
      </c>
      <c r="B52" s="2">
        <v>3466</v>
      </c>
      <c r="C52" s="2">
        <v>1006</v>
      </c>
      <c r="D52" s="2">
        <v>4472</v>
      </c>
    </row>
    <row r="53" spans="1:4" ht="15" thickBot="1" x14ac:dyDescent="0.4">
      <c r="A53" s="1" t="s">
        <v>52</v>
      </c>
      <c r="B53" s="2">
        <v>9486</v>
      </c>
      <c r="C53" s="2">
        <v>2300</v>
      </c>
      <c r="D53" s="2">
        <v>11786</v>
      </c>
    </row>
    <row r="54" spans="1:4" ht="15" thickBot="1" x14ac:dyDescent="0.4">
      <c r="A54" s="1" t="s">
        <v>53</v>
      </c>
      <c r="B54" s="2">
        <v>10159</v>
      </c>
      <c r="C54" s="2">
        <v>1656</v>
      </c>
      <c r="D54" s="2">
        <v>11815</v>
      </c>
    </row>
    <row r="55" spans="1:4" ht="15" thickBot="1" x14ac:dyDescent="0.4">
      <c r="A55" s="1" t="s">
        <v>54</v>
      </c>
      <c r="B55" s="2">
        <v>453494</v>
      </c>
      <c r="C55" s="2">
        <v>172555</v>
      </c>
      <c r="D55" s="2">
        <v>626049</v>
      </c>
    </row>
    <row r="56" spans="1:4" ht="15" thickBot="1" x14ac:dyDescent="0.4">
      <c r="A56" s="1" t="s">
        <v>55</v>
      </c>
      <c r="B56" s="2">
        <v>6197</v>
      </c>
      <c r="C56" s="2">
        <v>1469</v>
      </c>
      <c r="D56" s="2">
        <v>7666</v>
      </c>
    </row>
    <row r="57" spans="1:4" ht="15" thickBot="1" x14ac:dyDescent="0.4">
      <c r="A57" s="1" t="s">
        <v>56</v>
      </c>
      <c r="B57" s="2">
        <v>9527</v>
      </c>
      <c r="C57" s="2">
        <v>5600</v>
      </c>
      <c r="D57" s="2">
        <v>15127</v>
      </c>
    </row>
    <row r="58" spans="1:4" ht="15" thickBot="1" x14ac:dyDescent="0.4">
      <c r="A58" s="1" t="s">
        <v>57</v>
      </c>
      <c r="B58" s="2">
        <v>10040</v>
      </c>
      <c r="C58" s="2">
        <v>4020</v>
      </c>
      <c r="D58" s="2">
        <v>14060</v>
      </c>
    </row>
    <row r="59" spans="1:4" ht="15" thickBot="1" x14ac:dyDescent="0.4">
      <c r="A59" s="1" t="s">
        <v>58</v>
      </c>
      <c r="B59" s="2">
        <v>657733</v>
      </c>
      <c r="C59" s="2">
        <v>77948</v>
      </c>
      <c r="D59" s="2">
        <v>735681</v>
      </c>
    </row>
    <row r="60" spans="1:4" ht="15" thickBot="1" x14ac:dyDescent="0.4">
      <c r="A60" s="1" t="s">
        <v>59</v>
      </c>
      <c r="B60" s="2">
        <v>68864</v>
      </c>
      <c r="C60" s="2">
        <v>3611</v>
      </c>
      <c r="D60" s="2">
        <v>72475</v>
      </c>
    </row>
    <row r="61" spans="1:4" ht="15" thickBot="1" x14ac:dyDescent="0.4">
      <c r="A61" s="1" t="s">
        <v>60</v>
      </c>
      <c r="B61" s="2">
        <v>310424</v>
      </c>
      <c r="C61" s="2">
        <v>78626</v>
      </c>
      <c r="D61" s="2">
        <v>389050</v>
      </c>
    </row>
    <row r="62" spans="1:4" ht="15" thickBot="1" x14ac:dyDescent="0.4">
      <c r="A62" s="1" t="s">
        <v>61</v>
      </c>
      <c r="B62" s="2">
        <v>12253</v>
      </c>
      <c r="C62" s="2">
        <v>3005</v>
      </c>
      <c r="D62" s="2">
        <v>15258</v>
      </c>
    </row>
    <row r="63" spans="1:4" ht="15" thickBot="1" x14ac:dyDescent="0.4">
      <c r="A63" s="1" t="s">
        <v>62</v>
      </c>
      <c r="B63" s="2">
        <v>84465</v>
      </c>
      <c r="C63" s="2">
        <v>19885</v>
      </c>
      <c r="D63" s="2">
        <v>104350</v>
      </c>
    </row>
    <row r="64" spans="1:4" ht="15" thickBot="1" x14ac:dyDescent="0.4">
      <c r="A64" s="1" t="s">
        <v>63</v>
      </c>
      <c r="B64" s="2">
        <v>5379</v>
      </c>
      <c r="C64" s="2">
        <v>1008</v>
      </c>
      <c r="D64" s="2">
        <v>6387</v>
      </c>
    </row>
    <row r="65" spans="1:4" ht="15" thickBot="1" x14ac:dyDescent="0.4">
      <c r="A65" s="1" t="s">
        <v>64</v>
      </c>
      <c r="B65" s="2">
        <v>4408</v>
      </c>
      <c r="C65" s="2">
        <v>1722</v>
      </c>
      <c r="D65" s="2">
        <v>6130</v>
      </c>
    </row>
    <row r="66" spans="1:4" ht="15" thickBot="1" x14ac:dyDescent="0.4">
      <c r="A66" s="1" t="s">
        <v>65</v>
      </c>
      <c r="B66" s="2">
        <v>2723</v>
      </c>
      <c r="C66" s="2">
        <v>2250</v>
      </c>
      <c r="D66" s="2">
        <v>4973</v>
      </c>
    </row>
    <row r="67" spans="1:4" ht="15" thickBot="1" x14ac:dyDescent="0.4">
      <c r="A67" s="1" t="s">
        <v>66</v>
      </c>
      <c r="B67" s="2">
        <v>12222</v>
      </c>
      <c r="C67" s="2">
        <v>2601</v>
      </c>
      <c r="D67" s="2">
        <v>14823</v>
      </c>
    </row>
    <row r="68" spans="1:4" ht="15" thickBot="1" x14ac:dyDescent="0.4">
      <c r="A68" s="1" t="s">
        <v>67</v>
      </c>
      <c r="B68" s="2">
        <v>243</v>
      </c>
      <c r="C68" s="2">
        <v>54</v>
      </c>
      <c r="D68" s="2">
        <v>297</v>
      </c>
    </row>
    <row r="69" spans="1:4" ht="15" thickBot="1" x14ac:dyDescent="0.4">
      <c r="A69" s="1" t="s">
        <v>68</v>
      </c>
      <c r="B69" s="2">
        <v>14754</v>
      </c>
      <c r="C69" s="2">
        <v>3946</v>
      </c>
      <c r="D69" s="2">
        <v>18700</v>
      </c>
    </row>
    <row r="70" spans="1:4" ht="15" thickBot="1" x14ac:dyDescent="0.4">
      <c r="A70" s="1" t="s">
        <v>69</v>
      </c>
      <c r="B70" s="2">
        <v>7998</v>
      </c>
      <c r="C70" s="2">
        <v>1830</v>
      </c>
      <c r="D70" s="2">
        <v>9828</v>
      </c>
    </row>
    <row r="71" spans="1:4" ht="15" thickBot="1" x14ac:dyDescent="0.4">
      <c r="A71" s="1" t="s">
        <v>70</v>
      </c>
      <c r="B71" s="2">
        <v>3307</v>
      </c>
      <c r="C71" s="2">
        <v>835</v>
      </c>
      <c r="D71" s="2">
        <v>4142</v>
      </c>
    </row>
    <row r="72" spans="1:4" ht="15" thickBot="1" x14ac:dyDescent="0.4">
      <c r="A72" s="1" t="s">
        <v>71</v>
      </c>
      <c r="B72" s="2">
        <v>26775</v>
      </c>
      <c r="C72" s="2">
        <v>4744</v>
      </c>
      <c r="D72" s="2">
        <v>31519</v>
      </c>
    </row>
    <row r="73" spans="1:4" ht="15" thickBot="1" x14ac:dyDescent="0.4">
      <c r="A73" s="1" t="s">
        <v>72</v>
      </c>
      <c r="B73" s="2">
        <v>21149</v>
      </c>
      <c r="C73" s="2">
        <v>8265</v>
      </c>
      <c r="D73" s="2">
        <v>29414</v>
      </c>
    </row>
    <row r="74" spans="1:4" ht="15" thickBot="1" x14ac:dyDescent="0.4">
      <c r="A74" s="1" t="s">
        <v>73</v>
      </c>
      <c r="B74" s="2">
        <v>3933</v>
      </c>
      <c r="C74" s="2">
        <v>2752</v>
      </c>
      <c r="D74" s="2">
        <v>6685</v>
      </c>
    </row>
    <row r="75" spans="1:4" ht="15" thickBot="1" x14ac:dyDescent="0.4">
      <c r="A75" s="1" t="s">
        <v>74</v>
      </c>
      <c r="B75" s="2">
        <v>34935</v>
      </c>
      <c r="C75" s="2">
        <v>7169</v>
      </c>
      <c r="D75" s="2">
        <v>42104</v>
      </c>
    </row>
    <row r="76" spans="1:4" ht="15" thickBot="1" x14ac:dyDescent="0.4">
      <c r="A76" s="1" t="s">
        <v>75</v>
      </c>
      <c r="B76" s="2">
        <v>2289</v>
      </c>
      <c r="C76" s="2">
        <v>859</v>
      </c>
      <c r="D76" s="2">
        <v>3148</v>
      </c>
    </row>
    <row r="77" spans="1:4" ht="15" thickBot="1" x14ac:dyDescent="0.4">
      <c r="A77" s="1" t="s">
        <v>76</v>
      </c>
      <c r="B77" s="2">
        <v>25418</v>
      </c>
      <c r="C77" s="2">
        <v>3644</v>
      </c>
      <c r="D77" s="2">
        <v>29062</v>
      </c>
    </row>
    <row r="78" spans="1:4" ht="15" thickBot="1" x14ac:dyDescent="0.4">
      <c r="A78" s="1" t="s">
        <v>77</v>
      </c>
      <c r="B78" s="2">
        <v>1089</v>
      </c>
      <c r="C78" s="2">
        <v>1698</v>
      </c>
      <c r="D78" s="2">
        <v>2787</v>
      </c>
    </row>
    <row r="79" spans="1:4" ht="15" thickBot="1" x14ac:dyDescent="0.4">
      <c r="A79" s="1" t="s">
        <v>78</v>
      </c>
      <c r="B79" s="2">
        <v>1663</v>
      </c>
      <c r="C79" s="2">
        <v>514</v>
      </c>
      <c r="D79" s="2">
        <v>2177</v>
      </c>
    </row>
    <row r="80" spans="1:4" ht="15" thickBot="1" x14ac:dyDescent="0.4">
      <c r="A80" s="1" t="s">
        <v>79</v>
      </c>
      <c r="B80" s="2">
        <v>12013</v>
      </c>
      <c r="C80" s="2">
        <v>2987</v>
      </c>
      <c r="D80" s="2">
        <v>15000</v>
      </c>
    </row>
    <row r="81" spans="1:4" ht="15" thickBot="1" x14ac:dyDescent="0.4">
      <c r="A81" s="1" t="s">
        <v>80</v>
      </c>
      <c r="B81" s="2">
        <v>11343</v>
      </c>
      <c r="C81" s="2">
        <v>2042</v>
      </c>
      <c r="D81" s="2">
        <v>13385</v>
      </c>
    </row>
    <row r="82" spans="1:4" ht="15" thickBot="1" x14ac:dyDescent="0.4">
      <c r="A82" s="1" t="s">
        <v>81</v>
      </c>
      <c r="B82" s="2">
        <v>7590</v>
      </c>
      <c r="C82" s="2">
        <v>1427</v>
      </c>
      <c r="D82" s="2">
        <v>9017</v>
      </c>
    </row>
    <row r="83" spans="1:4" ht="15" thickBot="1" x14ac:dyDescent="0.4">
      <c r="A83" s="1" t="s">
        <v>82</v>
      </c>
      <c r="B83" s="2">
        <v>39176</v>
      </c>
      <c r="C83" s="2">
        <v>8270</v>
      </c>
      <c r="D83" s="2">
        <v>47446</v>
      </c>
    </row>
    <row r="84" spans="1:4" ht="15" thickBot="1" x14ac:dyDescent="0.4">
      <c r="A84" s="1" t="s">
        <v>83</v>
      </c>
      <c r="B84" s="2">
        <v>9224</v>
      </c>
      <c r="C84" s="2">
        <v>2030</v>
      </c>
      <c r="D84" s="2">
        <v>11254</v>
      </c>
    </row>
    <row r="85" spans="1:4" ht="15" thickBot="1" x14ac:dyDescent="0.4">
      <c r="A85" s="1" t="s">
        <v>84</v>
      </c>
      <c r="B85" s="2">
        <v>7865</v>
      </c>
      <c r="C85" s="2">
        <v>1548</v>
      </c>
      <c r="D85" s="2">
        <v>9413</v>
      </c>
    </row>
    <row r="86" spans="1:4" ht="15" thickBot="1" x14ac:dyDescent="0.4">
      <c r="A86" s="1" t="s">
        <v>85</v>
      </c>
      <c r="B86" s="2">
        <v>600</v>
      </c>
      <c r="C86" s="2">
        <v>173</v>
      </c>
      <c r="D86" s="2">
        <v>773</v>
      </c>
    </row>
    <row r="87" spans="1:4" ht="15" thickBot="1" x14ac:dyDescent="0.4">
      <c r="A87" s="1" t="s">
        <v>86</v>
      </c>
      <c r="B87" s="2">
        <v>4000</v>
      </c>
      <c r="C87" s="2">
        <v>1658</v>
      </c>
      <c r="D87" s="2">
        <v>5658</v>
      </c>
    </row>
    <row r="88" spans="1:4" ht="15" thickBot="1" x14ac:dyDescent="0.4">
      <c r="A88" s="1" t="s">
        <v>87</v>
      </c>
      <c r="B88" s="2">
        <v>4937</v>
      </c>
      <c r="C88" s="2">
        <v>2665</v>
      </c>
      <c r="D88" s="2">
        <v>7602</v>
      </c>
    </row>
    <row r="89" spans="1:4" ht="15" thickBot="1" x14ac:dyDescent="0.4">
      <c r="A89" s="1" t="s">
        <v>88</v>
      </c>
      <c r="B89" s="2">
        <v>15810</v>
      </c>
      <c r="C89" s="2">
        <v>1995</v>
      </c>
      <c r="D89" s="2">
        <v>17805</v>
      </c>
    </row>
    <row r="90" spans="1:4" ht="15" thickBot="1" x14ac:dyDescent="0.4">
      <c r="A90" s="1" t="s">
        <v>89</v>
      </c>
      <c r="B90" s="2">
        <v>6320</v>
      </c>
      <c r="C90" s="2">
        <v>1710</v>
      </c>
      <c r="D90" s="2">
        <v>8030</v>
      </c>
    </row>
    <row r="91" spans="1:4" ht="15" thickBot="1" x14ac:dyDescent="0.4">
      <c r="A91" s="1" t="s">
        <v>90</v>
      </c>
      <c r="B91" s="2">
        <v>79796</v>
      </c>
      <c r="C91" s="2">
        <v>19686</v>
      </c>
      <c r="D91" s="2">
        <v>99482</v>
      </c>
    </row>
    <row r="92" spans="1:4" ht="15" thickBot="1" x14ac:dyDescent="0.4">
      <c r="A92" s="1" t="s">
        <v>91</v>
      </c>
      <c r="B92" s="2">
        <v>17000</v>
      </c>
      <c r="C92" s="2">
        <v>8500</v>
      </c>
      <c r="D92" s="2">
        <v>25500</v>
      </c>
    </row>
    <row r="93" spans="1:4" ht="15" thickBot="1" x14ac:dyDescent="0.4">
      <c r="A93" s="1" t="s">
        <v>92</v>
      </c>
      <c r="B93" s="2">
        <v>9428</v>
      </c>
      <c r="C93" s="2">
        <v>5622</v>
      </c>
      <c r="D93" s="2">
        <v>15050</v>
      </c>
    </row>
    <row r="94" spans="1:4" ht="15" thickBot="1" x14ac:dyDescent="0.4">
      <c r="A94" s="1" t="s">
        <v>93</v>
      </c>
      <c r="B94" s="2">
        <v>4610</v>
      </c>
      <c r="C94" s="2">
        <v>645</v>
      </c>
      <c r="D94" s="2">
        <v>5255</v>
      </c>
    </row>
    <row r="95" spans="1:4" ht="15" thickBot="1" x14ac:dyDescent="0.4">
      <c r="A95" s="1" t="s">
        <v>94</v>
      </c>
      <c r="B95" s="2">
        <v>908</v>
      </c>
      <c r="C95" s="2">
        <v>464</v>
      </c>
      <c r="D95" s="2">
        <v>1372</v>
      </c>
    </row>
    <row r="96" spans="1:4" ht="15" thickBot="1" x14ac:dyDescent="0.4">
      <c r="A96" s="1" t="s">
        <v>95</v>
      </c>
      <c r="B96" s="2">
        <v>2837</v>
      </c>
      <c r="C96" s="2">
        <v>2652</v>
      </c>
      <c r="D96" s="2">
        <v>5489</v>
      </c>
    </row>
    <row r="97" spans="1:4" ht="15" thickBot="1" x14ac:dyDescent="0.4">
      <c r="A97" s="1" t="s">
        <v>96</v>
      </c>
      <c r="B97" s="2">
        <v>5311</v>
      </c>
      <c r="C97" s="2">
        <v>817</v>
      </c>
      <c r="D97" s="2">
        <v>6128</v>
      </c>
    </row>
    <row r="98" spans="1:4" ht="15" thickBot="1" x14ac:dyDescent="0.4">
      <c r="A98" s="1" t="s">
        <v>97</v>
      </c>
      <c r="B98" s="2">
        <v>2236</v>
      </c>
      <c r="C98" s="2">
        <v>488</v>
      </c>
      <c r="D98" s="2">
        <v>2724</v>
      </c>
    </row>
    <row r="99" spans="1:4" ht="15" thickBot="1" x14ac:dyDescent="0.4">
      <c r="A99" s="1" t="s">
        <v>98</v>
      </c>
      <c r="B99" s="2">
        <v>5071</v>
      </c>
      <c r="C99" s="2">
        <v>2045</v>
      </c>
      <c r="D99" s="2">
        <v>7116</v>
      </c>
    </row>
    <row r="100" spans="1:4" ht="15" thickBot="1" x14ac:dyDescent="0.4">
      <c r="A100" s="1" t="s">
        <v>99</v>
      </c>
      <c r="B100" s="2">
        <v>18941</v>
      </c>
      <c r="C100" s="2">
        <v>1954</v>
      </c>
      <c r="D100" s="2">
        <v>20895</v>
      </c>
    </row>
    <row r="101" spans="1:4" ht="15" thickBot="1" x14ac:dyDescent="0.4">
      <c r="A101" s="1" t="s">
        <v>100</v>
      </c>
      <c r="B101" s="2">
        <v>576</v>
      </c>
      <c r="C101" s="2">
        <v>210</v>
      </c>
      <c r="D101" s="2">
        <v>786</v>
      </c>
    </row>
    <row r="102" spans="1:4" ht="15" thickBot="1" x14ac:dyDescent="0.4">
      <c r="A102" s="1" t="s">
        <v>101</v>
      </c>
      <c r="B102" s="2">
        <v>12507</v>
      </c>
      <c r="C102" s="2">
        <v>3857</v>
      </c>
      <c r="D102" s="2">
        <v>16364</v>
      </c>
    </row>
    <row r="103" spans="1:4" ht="15" thickBot="1" x14ac:dyDescent="0.4">
      <c r="A103" s="1" t="s">
        <v>102</v>
      </c>
      <c r="B103" s="2">
        <v>535</v>
      </c>
      <c r="C103" s="2">
        <v>294</v>
      </c>
      <c r="D103" s="2">
        <v>829</v>
      </c>
    </row>
    <row r="104" spans="1:4" ht="15" thickBot="1" x14ac:dyDescent="0.4">
      <c r="A104" s="1" t="s">
        <v>103</v>
      </c>
      <c r="B104" s="2">
        <v>6537</v>
      </c>
      <c r="C104" s="2">
        <v>1569</v>
      </c>
      <c r="D104" s="2">
        <v>8106</v>
      </c>
    </row>
    <row r="105" spans="1:4" ht="15" thickBot="1" x14ac:dyDescent="0.4">
      <c r="A105" s="1" t="s">
        <v>104</v>
      </c>
      <c r="B105" s="2">
        <v>20985</v>
      </c>
      <c r="C105" s="2">
        <v>3008</v>
      </c>
      <c r="D105" s="2">
        <v>23993</v>
      </c>
    </row>
    <row r="106" spans="1:4" ht="15" thickBot="1" x14ac:dyDescent="0.4">
      <c r="A106" s="1" t="s">
        <v>105</v>
      </c>
      <c r="B106" s="2">
        <v>8047</v>
      </c>
      <c r="C106" s="2">
        <v>2381</v>
      </c>
      <c r="D106" s="2">
        <v>10428</v>
      </c>
    </row>
    <row r="107" spans="1:4" ht="15" thickBot="1" x14ac:dyDescent="0.4">
      <c r="A107" s="1" t="s">
        <v>106</v>
      </c>
      <c r="B107" s="2">
        <v>5112</v>
      </c>
      <c r="C107" s="2">
        <v>973</v>
      </c>
      <c r="D107" s="2">
        <v>6085</v>
      </c>
    </row>
    <row r="108" spans="1:4" ht="15" thickBot="1" x14ac:dyDescent="0.4">
      <c r="A108" s="1" t="s">
        <v>107</v>
      </c>
      <c r="B108" s="2">
        <v>6301</v>
      </c>
      <c r="C108" s="2">
        <v>1381</v>
      </c>
      <c r="D108" s="2">
        <v>7682</v>
      </c>
    </row>
    <row r="109" spans="1:4" ht="15" thickBot="1" x14ac:dyDescent="0.4">
      <c r="A109" s="1" t="s">
        <v>108</v>
      </c>
      <c r="B109" s="2">
        <v>8570</v>
      </c>
      <c r="C109" s="2">
        <v>1484</v>
      </c>
      <c r="D109" s="2">
        <v>10054</v>
      </c>
    </row>
    <row r="110" spans="1:4" ht="15" thickBot="1" x14ac:dyDescent="0.4">
      <c r="A110" s="1" t="s">
        <v>109</v>
      </c>
      <c r="B110" s="2">
        <v>2273</v>
      </c>
      <c r="C110" s="2">
        <v>832</v>
      </c>
      <c r="D110" s="2">
        <v>3105</v>
      </c>
    </row>
    <row r="111" spans="1:4" ht="15" thickBot="1" x14ac:dyDescent="0.4">
      <c r="A111" s="1" t="s">
        <v>110</v>
      </c>
      <c r="B111" s="2">
        <v>6297</v>
      </c>
      <c r="C111" s="2">
        <v>1588</v>
      </c>
      <c r="D111" s="2">
        <v>7885</v>
      </c>
    </row>
    <row r="112" spans="1:4" ht="15" thickBot="1" x14ac:dyDescent="0.4">
      <c r="A112" s="1" t="s">
        <v>111</v>
      </c>
      <c r="B112" s="2">
        <v>4841</v>
      </c>
      <c r="C112" s="2">
        <v>1355</v>
      </c>
      <c r="D112" s="2">
        <v>6196</v>
      </c>
    </row>
    <row r="113" spans="1:4" ht="15" thickBot="1" x14ac:dyDescent="0.4">
      <c r="A113" s="1" t="s">
        <v>112</v>
      </c>
      <c r="B113" s="2">
        <v>6732</v>
      </c>
      <c r="C113" s="2">
        <v>1370</v>
      </c>
      <c r="D113" s="2">
        <v>8102</v>
      </c>
    </row>
    <row r="114" spans="1:4" ht="15" thickBot="1" x14ac:dyDescent="0.4">
      <c r="A114" s="1" t="s">
        <v>113</v>
      </c>
      <c r="B114" s="2">
        <v>32134</v>
      </c>
      <c r="C114" s="2">
        <v>3211</v>
      </c>
      <c r="D114" s="2">
        <v>35345</v>
      </c>
    </row>
    <row r="115" spans="1:4" ht="15" thickBot="1" x14ac:dyDescent="0.4">
      <c r="A115" s="1" t="s">
        <v>114</v>
      </c>
      <c r="B115" s="2">
        <v>2767</v>
      </c>
      <c r="C115" s="2">
        <v>802</v>
      </c>
      <c r="D115" s="2">
        <v>3569</v>
      </c>
    </row>
    <row r="116" spans="1:4" ht="15" thickBot="1" x14ac:dyDescent="0.4">
      <c r="A116" s="1" t="s">
        <v>115</v>
      </c>
      <c r="B116" s="2">
        <v>2863</v>
      </c>
      <c r="C116" s="2">
        <v>580</v>
      </c>
      <c r="D116" s="2">
        <v>3443</v>
      </c>
    </row>
    <row r="117" spans="1:4" ht="15" thickBot="1" x14ac:dyDescent="0.4">
      <c r="A117" s="1" t="s">
        <v>116</v>
      </c>
      <c r="B117" s="2">
        <v>2776</v>
      </c>
      <c r="C117" s="2">
        <v>874</v>
      </c>
      <c r="D117" s="2">
        <v>3650</v>
      </c>
    </row>
    <row r="118" spans="1:4" ht="15" thickBot="1" x14ac:dyDescent="0.4">
      <c r="A118" s="1" t="s">
        <v>117</v>
      </c>
      <c r="B118" s="2">
        <v>66866</v>
      </c>
      <c r="C118" s="2">
        <v>6434</v>
      </c>
      <c r="D118" s="2">
        <v>73300</v>
      </c>
    </row>
    <row r="119" spans="1:4" ht="15" thickBot="1" x14ac:dyDescent="0.4">
      <c r="A119" s="1" t="s">
        <v>118</v>
      </c>
      <c r="B119" s="2">
        <v>146281</v>
      </c>
      <c r="C119" s="2">
        <v>61032</v>
      </c>
      <c r="D119" s="2">
        <v>207313</v>
      </c>
    </row>
    <row r="120" spans="1:4" ht="15" thickBot="1" x14ac:dyDescent="0.4">
      <c r="A120" s="1" t="s">
        <v>119</v>
      </c>
      <c r="B120" s="2">
        <v>39991</v>
      </c>
      <c r="C120" s="2">
        <v>0</v>
      </c>
      <c r="D120" s="2">
        <v>39991</v>
      </c>
    </row>
    <row r="121" spans="1:4" ht="15" thickBot="1" x14ac:dyDescent="0.4">
      <c r="A121" s="1" t="s">
        <v>120</v>
      </c>
      <c r="B121" s="2">
        <v>5252</v>
      </c>
      <c r="C121" s="2">
        <v>1589</v>
      </c>
      <c r="D121" s="2">
        <v>6841</v>
      </c>
    </row>
    <row r="122" spans="1:4" ht="15" thickBot="1" x14ac:dyDescent="0.4">
      <c r="A122" s="1" t="s">
        <v>121</v>
      </c>
      <c r="B122" s="2">
        <v>2780</v>
      </c>
      <c r="C122" s="2">
        <v>948</v>
      </c>
      <c r="D122" s="2">
        <v>3728</v>
      </c>
    </row>
    <row r="123" spans="1:4" ht="15" thickBot="1" x14ac:dyDescent="0.4">
      <c r="A123" s="1" t="s">
        <v>122</v>
      </c>
      <c r="B123" s="2">
        <v>1097</v>
      </c>
      <c r="C123" s="2">
        <v>1439</v>
      </c>
      <c r="D123" s="2">
        <v>2536</v>
      </c>
    </row>
    <row r="124" spans="1:4" ht="15" thickBot="1" x14ac:dyDescent="0.4">
      <c r="A124" s="1" t="s">
        <v>123</v>
      </c>
      <c r="B124" s="2">
        <v>35959</v>
      </c>
      <c r="C124" s="2">
        <v>8107</v>
      </c>
      <c r="D124" s="2">
        <v>44066</v>
      </c>
    </row>
    <row r="125" spans="1:4" ht="15" thickBot="1" x14ac:dyDescent="0.4">
      <c r="A125" s="1" t="s">
        <v>124</v>
      </c>
      <c r="B125" s="2">
        <v>24698</v>
      </c>
      <c r="C125" s="2">
        <v>7955</v>
      </c>
      <c r="D125" s="2">
        <v>32653</v>
      </c>
    </row>
    <row r="126" spans="1:4" ht="15" thickBot="1" x14ac:dyDescent="0.4">
      <c r="A126" s="1" t="s">
        <v>125</v>
      </c>
      <c r="B126" s="2">
        <v>9460</v>
      </c>
      <c r="C126" s="2">
        <v>1948</v>
      </c>
      <c r="D126" s="2">
        <v>11408</v>
      </c>
    </row>
    <row r="127" spans="1:4" ht="15" thickBot="1" x14ac:dyDescent="0.4">
      <c r="A127" s="1" t="s">
        <v>126</v>
      </c>
      <c r="B127" s="2">
        <v>22306</v>
      </c>
      <c r="C127" s="2">
        <v>2928</v>
      </c>
      <c r="D127" s="2">
        <v>25234</v>
      </c>
    </row>
    <row r="128" spans="1:4" ht="15" thickBot="1" x14ac:dyDescent="0.4">
      <c r="A128" s="1" t="s">
        <v>127</v>
      </c>
      <c r="B128" s="2">
        <v>7810</v>
      </c>
      <c r="C128" s="2">
        <v>2075</v>
      </c>
      <c r="D128" s="2">
        <v>9885</v>
      </c>
    </row>
    <row r="129" spans="1:4" ht="15" thickBot="1" x14ac:dyDescent="0.4">
      <c r="A129" s="1" t="s">
        <v>128</v>
      </c>
      <c r="B129" s="2">
        <v>50672</v>
      </c>
      <c r="C129" s="2">
        <v>12734</v>
      </c>
      <c r="D129" s="2">
        <v>63406</v>
      </c>
    </row>
    <row r="130" spans="1:4" ht="15" thickBot="1" x14ac:dyDescent="0.4">
      <c r="A130" s="1" t="s">
        <v>129</v>
      </c>
      <c r="B130" s="2">
        <v>5313</v>
      </c>
      <c r="C130" s="2">
        <v>1899</v>
      </c>
      <c r="D130" s="2">
        <v>7212</v>
      </c>
    </row>
    <row r="131" spans="1:4" ht="15" thickBot="1" x14ac:dyDescent="0.4">
      <c r="A131" s="1" t="s">
        <v>130</v>
      </c>
      <c r="B131" s="2">
        <v>8073</v>
      </c>
      <c r="C131" s="2">
        <v>3582</v>
      </c>
      <c r="D131" s="2">
        <v>11655</v>
      </c>
    </row>
    <row r="132" spans="1:4" ht="15" thickBot="1" x14ac:dyDescent="0.4">
      <c r="A132" s="1" t="s">
        <v>131</v>
      </c>
      <c r="B132" s="2">
        <v>10624</v>
      </c>
      <c r="C132" s="2">
        <v>2644</v>
      </c>
      <c r="D132" s="2">
        <v>13268</v>
      </c>
    </row>
    <row r="133" spans="1:4" ht="15" thickBot="1" x14ac:dyDescent="0.4">
      <c r="A133" s="1" t="s">
        <v>132</v>
      </c>
      <c r="B133" s="2">
        <v>52477</v>
      </c>
      <c r="C133" s="2">
        <v>11972</v>
      </c>
      <c r="D133" s="2">
        <v>64449</v>
      </c>
    </row>
    <row r="134" spans="1:4" ht="15" thickBot="1" x14ac:dyDescent="0.4">
      <c r="A134" s="1" t="s">
        <v>133</v>
      </c>
      <c r="B134" s="2">
        <v>184</v>
      </c>
      <c r="C134" s="2">
        <v>80</v>
      </c>
      <c r="D134" s="2">
        <v>264</v>
      </c>
    </row>
    <row r="135" spans="1:4" ht="15" thickBot="1" x14ac:dyDescent="0.4">
      <c r="A135" s="1" t="s">
        <v>134</v>
      </c>
      <c r="B135" s="2">
        <v>21732</v>
      </c>
      <c r="C135" s="2">
        <v>2956</v>
      </c>
      <c r="D135" s="2">
        <v>24688</v>
      </c>
    </row>
    <row r="136" spans="1:4" ht="15" thickBot="1" x14ac:dyDescent="0.4">
      <c r="A136" s="1" t="s">
        <v>135</v>
      </c>
      <c r="B136" s="2">
        <v>3524</v>
      </c>
      <c r="C136" s="2">
        <v>1868</v>
      </c>
      <c r="D136" s="2">
        <v>5392</v>
      </c>
    </row>
    <row r="137" spans="1:4" ht="15" thickBot="1" x14ac:dyDescent="0.4">
      <c r="A137" s="1" t="s">
        <v>136</v>
      </c>
      <c r="B137" s="2">
        <v>7206</v>
      </c>
      <c r="C137" s="2">
        <v>2408</v>
      </c>
      <c r="D137" s="2">
        <v>9614</v>
      </c>
    </row>
    <row r="138" spans="1:4" ht="15" thickBot="1" x14ac:dyDescent="0.4">
      <c r="A138" s="1" t="s">
        <v>137</v>
      </c>
      <c r="B138" s="2">
        <v>10796</v>
      </c>
      <c r="C138" s="2">
        <v>2785</v>
      </c>
      <c r="D138" s="2">
        <v>13581</v>
      </c>
    </row>
    <row r="139" spans="1:4" ht="15" thickBot="1" x14ac:dyDescent="0.4">
      <c r="A139" s="1" t="s">
        <v>138</v>
      </c>
      <c r="B139" s="2">
        <v>20814</v>
      </c>
      <c r="C139" s="2">
        <v>6849</v>
      </c>
      <c r="D139" s="2">
        <v>27663</v>
      </c>
    </row>
    <row r="140" spans="1:4" ht="15" thickBot="1" x14ac:dyDescent="0.4">
      <c r="A140" s="1" t="s">
        <v>139</v>
      </c>
      <c r="B140" s="2">
        <v>45136</v>
      </c>
      <c r="C140" s="2">
        <v>15100</v>
      </c>
      <c r="D140" s="2">
        <v>60236</v>
      </c>
    </row>
    <row r="141" spans="1:4" ht="15" thickBot="1" x14ac:dyDescent="0.4">
      <c r="A141" s="1" t="s">
        <v>140</v>
      </c>
      <c r="B141" s="2">
        <v>27165</v>
      </c>
      <c r="C141" s="2">
        <v>3439</v>
      </c>
      <c r="D141" s="2">
        <v>30604</v>
      </c>
    </row>
    <row r="142" spans="1:4" ht="15" thickBot="1" x14ac:dyDescent="0.4">
      <c r="A142" s="1" t="s">
        <v>141</v>
      </c>
      <c r="B142" s="2">
        <v>1464</v>
      </c>
      <c r="C142" s="2">
        <v>536</v>
      </c>
      <c r="D142" s="2">
        <v>2000</v>
      </c>
    </row>
    <row r="143" spans="1:4" ht="15" thickBot="1" x14ac:dyDescent="0.4">
      <c r="A143" s="1" t="s">
        <v>142</v>
      </c>
      <c r="B143" s="2">
        <v>11639</v>
      </c>
      <c r="C143" s="2">
        <v>1215</v>
      </c>
      <c r="D143" s="2">
        <v>12854</v>
      </c>
    </row>
    <row r="144" spans="1:4" ht="15" thickBot="1" x14ac:dyDescent="0.4">
      <c r="A144" s="1" t="s">
        <v>143</v>
      </c>
      <c r="B144" s="2">
        <v>1307</v>
      </c>
      <c r="C144" s="2">
        <v>369</v>
      </c>
      <c r="D144" s="2">
        <v>1676</v>
      </c>
    </row>
    <row r="145" spans="1:4" ht="15" thickBot="1" x14ac:dyDescent="0.4">
      <c r="A145" s="1" t="s">
        <v>144</v>
      </c>
      <c r="B145" s="2">
        <v>77284</v>
      </c>
      <c r="C145" s="2">
        <v>16270</v>
      </c>
      <c r="D145" s="2">
        <v>93554</v>
      </c>
    </row>
    <row r="146" spans="1:4" ht="15" thickBot="1" x14ac:dyDescent="0.4">
      <c r="A146" s="1" t="s">
        <v>145</v>
      </c>
      <c r="B146" s="2">
        <v>20437</v>
      </c>
      <c r="C146" s="2">
        <v>6930</v>
      </c>
      <c r="D146" s="2">
        <v>27367</v>
      </c>
    </row>
    <row r="147" spans="1:4" ht="15" thickBot="1" x14ac:dyDescent="0.4">
      <c r="A147" s="1" t="s">
        <v>146</v>
      </c>
      <c r="B147" s="2">
        <v>57140</v>
      </c>
      <c r="C147" s="2">
        <v>5907</v>
      </c>
      <c r="D147" s="2">
        <v>63047</v>
      </c>
    </row>
    <row r="148" spans="1:4" ht="15" thickBot="1" x14ac:dyDescent="0.4">
      <c r="A148" s="1" t="s">
        <v>147</v>
      </c>
      <c r="B148" s="2">
        <v>7749</v>
      </c>
      <c r="C148" s="2">
        <v>3155</v>
      </c>
      <c r="D148" s="2">
        <v>10904</v>
      </c>
    </row>
    <row r="149" spans="1:4" ht="15" thickBot="1" x14ac:dyDescent="0.4">
      <c r="A149" s="1" t="s">
        <v>148</v>
      </c>
      <c r="B149" s="2">
        <v>144723</v>
      </c>
      <c r="C149" s="2">
        <v>69033</v>
      </c>
      <c r="D149" s="2">
        <v>213756</v>
      </c>
    </row>
    <row r="150" spans="1:4" ht="15" thickBot="1" x14ac:dyDescent="0.4">
      <c r="A150" s="1" t="s">
        <v>149</v>
      </c>
      <c r="B150" s="2">
        <v>2884</v>
      </c>
      <c r="C150" s="2">
        <v>729</v>
      </c>
      <c r="D150" s="2">
        <v>3613</v>
      </c>
    </row>
    <row r="151" spans="1:4" ht="15" thickBot="1" x14ac:dyDescent="0.4">
      <c r="A151" s="1" t="s">
        <v>150</v>
      </c>
      <c r="B151" s="2">
        <v>4785</v>
      </c>
      <c r="C151" s="2">
        <v>2076</v>
      </c>
      <c r="D151" s="2">
        <v>6861</v>
      </c>
    </row>
    <row r="152" spans="1:4" ht="15" thickBot="1" x14ac:dyDescent="0.4">
      <c r="A152" s="1" t="s">
        <v>151</v>
      </c>
      <c r="B152" s="2">
        <v>3953</v>
      </c>
      <c r="C152" s="2">
        <v>2041</v>
      </c>
      <c r="D152" s="2">
        <v>5994</v>
      </c>
    </row>
    <row r="153" spans="1:4" ht="15" thickBot="1" x14ac:dyDescent="0.4">
      <c r="A153" s="1" t="s">
        <v>152</v>
      </c>
      <c r="B153" s="2">
        <v>1230</v>
      </c>
      <c r="C153" s="2">
        <v>287</v>
      </c>
      <c r="D153" s="2">
        <v>1517</v>
      </c>
    </row>
    <row r="154" spans="1:4" ht="15" thickBot="1" x14ac:dyDescent="0.4">
      <c r="A154" s="1" t="s">
        <v>153</v>
      </c>
      <c r="B154" s="2">
        <v>3229</v>
      </c>
      <c r="C154" s="2">
        <v>1418</v>
      </c>
      <c r="D154" s="2">
        <v>4647</v>
      </c>
    </row>
    <row r="155" spans="1:4" ht="15" thickBot="1" x14ac:dyDescent="0.4">
      <c r="A155" s="1" t="s">
        <v>154</v>
      </c>
      <c r="B155" s="2">
        <v>1225</v>
      </c>
      <c r="C155" s="2">
        <v>766</v>
      </c>
      <c r="D155" s="2">
        <v>1991</v>
      </c>
    </row>
    <row r="156" spans="1:4" ht="15" thickBot="1" x14ac:dyDescent="0.4">
      <c r="A156" s="1" t="s">
        <v>155</v>
      </c>
      <c r="B156" s="2">
        <v>2387</v>
      </c>
      <c r="C156" s="2">
        <v>464</v>
      </c>
      <c r="D156" s="2">
        <v>2851</v>
      </c>
    </row>
    <row r="157" spans="1:4" ht="15" thickBot="1" x14ac:dyDescent="0.4">
      <c r="A157" s="1" t="s">
        <v>156</v>
      </c>
      <c r="B157" s="2">
        <v>18097</v>
      </c>
      <c r="C157" s="2">
        <v>2341</v>
      </c>
      <c r="D157" s="2">
        <v>20438</v>
      </c>
    </row>
    <row r="158" spans="1:4" ht="15" thickBot="1" x14ac:dyDescent="0.4">
      <c r="A158" s="1" t="s">
        <v>157</v>
      </c>
      <c r="B158" s="2">
        <v>2379</v>
      </c>
      <c r="C158" s="2">
        <v>596</v>
      </c>
      <c r="D158" s="2">
        <v>2975</v>
      </c>
    </row>
    <row r="159" spans="1:4" ht="15" thickBot="1" x14ac:dyDescent="0.4">
      <c r="A159" s="1" t="s">
        <v>158</v>
      </c>
      <c r="B159" s="2">
        <v>1792</v>
      </c>
      <c r="C159" s="2">
        <v>1750</v>
      </c>
      <c r="D159" s="2">
        <v>3542</v>
      </c>
    </row>
    <row r="160" spans="1:4" ht="15" thickBot="1" x14ac:dyDescent="0.4">
      <c r="A160" s="1" t="s">
        <v>159</v>
      </c>
      <c r="B160" s="2">
        <v>40726</v>
      </c>
      <c r="C160" s="2">
        <v>10317</v>
      </c>
      <c r="D160" s="2">
        <v>51043</v>
      </c>
    </row>
    <row r="161" spans="1:4" ht="15" thickBot="1" x14ac:dyDescent="0.4">
      <c r="A161" s="1" t="s">
        <v>160</v>
      </c>
      <c r="B161" s="2">
        <v>32345</v>
      </c>
      <c r="C161" s="2">
        <v>12361</v>
      </c>
      <c r="D161" s="2">
        <v>44706</v>
      </c>
    </row>
    <row r="162" spans="1:4" ht="15" thickBot="1" x14ac:dyDescent="0.4">
      <c r="A162" s="1" t="s">
        <v>161</v>
      </c>
      <c r="B162" s="2">
        <v>4228</v>
      </c>
      <c r="C162" s="2">
        <v>5791</v>
      </c>
      <c r="D162" s="2">
        <v>10019</v>
      </c>
    </row>
    <row r="163" spans="1:4" ht="15" thickBot="1" x14ac:dyDescent="0.4">
      <c r="A163" s="1" t="s">
        <v>162</v>
      </c>
      <c r="B163" s="2">
        <v>5542</v>
      </c>
      <c r="C163" s="2">
        <v>1777</v>
      </c>
      <c r="D163" s="2">
        <v>7319</v>
      </c>
    </row>
    <row r="164" spans="1:4" ht="15" thickBot="1" x14ac:dyDescent="0.4">
      <c r="A164" s="1" t="s">
        <v>163</v>
      </c>
      <c r="B164" s="2">
        <v>1528</v>
      </c>
      <c r="C164" s="2">
        <v>556</v>
      </c>
      <c r="D164" s="2">
        <v>2084</v>
      </c>
    </row>
    <row r="165" spans="1:4" ht="15" thickBot="1" x14ac:dyDescent="0.4">
      <c r="A165" s="1" t="s">
        <v>164</v>
      </c>
      <c r="B165" s="2">
        <v>1600</v>
      </c>
      <c r="C165" s="2">
        <v>550</v>
      </c>
      <c r="D165" s="2">
        <v>2150</v>
      </c>
    </row>
    <row r="166" spans="1:4" ht="15" thickBot="1" x14ac:dyDescent="0.4">
      <c r="A166" s="1" t="s">
        <v>165</v>
      </c>
      <c r="B166" s="2">
        <v>643</v>
      </c>
      <c r="C166" s="2">
        <v>73</v>
      </c>
      <c r="D166" s="2">
        <v>716</v>
      </c>
    </row>
    <row r="167" spans="1:4" ht="15" thickBot="1" x14ac:dyDescent="0.4">
      <c r="A167" s="1" t="s">
        <v>166</v>
      </c>
      <c r="B167" s="2">
        <v>2932</v>
      </c>
      <c r="C167" s="2">
        <v>1384</v>
      </c>
      <c r="D167" s="2">
        <v>4316</v>
      </c>
    </row>
    <row r="168" spans="1:4" ht="15" thickBot="1" x14ac:dyDescent="0.4">
      <c r="A168" s="1" t="s">
        <v>167</v>
      </c>
      <c r="B168" s="2">
        <v>7272</v>
      </c>
      <c r="C168" s="2">
        <v>1002</v>
      </c>
      <c r="D168" s="2">
        <v>8274</v>
      </c>
    </row>
    <row r="169" spans="1:4" ht="15" thickBot="1" x14ac:dyDescent="0.4">
      <c r="A169" s="1" t="s">
        <v>168</v>
      </c>
      <c r="B169" s="2">
        <v>820</v>
      </c>
      <c r="C169" s="2">
        <v>308</v>
      </c>
      <c r="D169" s="2">
        <v>1128</v>
      </c>
    </row>
    <row r="170" spans="1:4" ht="15" thickBot="1" x14ac:dyDescent="0.4">
      <c r="A170" s="1" t="s">
        <v>169</v>
      </c>
      <c r="B170" s="2">
        <v>2173</v>
      </c>
      <c r="C170" s="2">
        <v>1548</v>
      </c>
      <c r="D170" s="2">
        <v>3721</v>
      </c>
    </row>
    <row r="171" spans="1:4" ht="15" thickBot="1" x14ac:dyDescent="0.4">
      <c r="A171" s="1" t="s">
        <v>170</v>
      </c>
      <c r="B171" s="2">
        <v>26452</v>
      </c>
      <c r="C171" s="2">
        <v>5981</v>
      </c>
      <c r="D171" s="2">
        <v>32433</v>
      </c>
    </row>
    <row r="172" spans="1:4" ht="15" thickBot="1" x14ac:dyDescent="0.4">
      <c r="A172" s="1" t="s">
        <v>171</v>
      </c>
      <c r="B172" s="2">
        <v>7298</v>
      </c>
      <c r="C172" s="2">
        <v>1760</v>
      </c>
      <c r="D172" s="2">
        <v>9058</v>
      </c>
    </row>
    <row r="173" spans="1:4" ht="15" thickBot="1" x14ac:dyDescent="0.4">
      <c r="A173" s="1" t="s">
        <v>172</v>
      </c>
      <c r="B173" s="2">
        <v>2632</v>
      </c>
      <c r="C173" s="2">
        <v>727</v>
      </c>
      <c r="D173" s="2">
        <v>3359</v>
      </c>
    </row>
    <row r="174" spans="1:4" ht="15" thickBot="1" x14ac:dyDescent="0.4">
      <c r="A174" s="1" t="s">
        <v>173</v>
      </c>
      <c r="B174" s="2">
        <v>6456</v>
      </c>
      <c r="C174" s="2">
        <v>2498</v>
      </c>
      <c r="D174" s="2">
        <v>8954</v>
      </c>
    </row>
    <row r="175" spans="1:4" ht="15" thickBot="1" x14ac:dyDescent="0.4">
      <c r="A175" s="1" t="s">
        <v>174</v>
      </c>
      <c r="B175" s="2">
        <v>10405</v>
      </c>
      <c r="C175" s="2">
        <v>2095</v>
      </c>
      <c r="D175" s="2">
        <v>12500</v>
      </c>
    </row>
    <row r="176" spans="1:4" ht="15" thickBot="1" x14ac:dyDescent="0.4">
      <c r="A176" s="1" t="s">
        <v>175</v>
      </c>
      <c r="B176" s="2">
        <v>8653</v>
      </c>
      <c r="C176" s="2">
        <v>1875</v>
      </c>
      <c r="D176" s="2">
        <v>10528</v>
      </c>
    </row>
    <row r="177" spans="1:4" ht="15" thickBot="1" x14ac:dyDescent="0.4">
      <c r="A177" s="1" t="s">
        <v>176</v>
      </c>
      <c r="B177" s="2">
        <v>5119</v>
      </c>
      <c r="C177" s="2">
        <v>858</v>
      </c>
      <c r="D177" s="2">
        <v>5977</v>
      </c>
    </row>
    <row r="178" spans="1:4" ht="15" thickBot="1" x14ac:dyDescent="0.4">
      <c r="A178" s="1" t="s">
        <v>177</v>
      </c>
      <c r="B178" s="2">
        <v>1245</v>
      </c>
      <c r="C178" s="2">
        <v>1281</v>
      </c>
      <c r="D178" s="2">
        <v>2526</v>
      </c>
    </row>
    <row r="179" spans="1:4" ht="15" thickBot="1" x14ac:dyDescent="0.4">
      <c r="A179" s="1" t="s">
        <v>178</v>
      </c>
      <c r="B179" s="2">
        <v>11433</v>
      </c>
      <c r="C179" s="2">
        <v>4715</v>
      </c>
      <c r="D179" s="2">
        <v>16148</v>
      </c>
    </row>
    <row r="180" spans="1:4" ht="15" thickBot="1" x14ac:dyDescent="0.4">
      <c r="A180" s="1" t="s">
        <v>179</v>
      </c>
      <c r="B180" s="2">
        <v>1959</v>
      </c>
      <c r="C180" s="2">
        <v>1580</v>
      </c>
      <c r="D180" s="2">
        <v>3539</v>
      </c>
    </row>
    <row r="181" spans="1:4" ht="15" thickBot="1" x14ac:dyDescent="0.4">
      <c r="A181" s="1" t="s">
        <v>180</v>
      </c>
      <c r="B181" s="2">
        <v>1401</v>
      </c>
      <c r="C181" s="2">
        <v>150</v>
      </c>
      <c r="D181" s="2">
        <v>1551</v>
      </c>
    </row>
    <row r="182" spans="1:4" ht="15" thickBot="1" x14ac:dyDescent="0.4">
      <c r="A182" s="1" t="s">
        <v>181</v>
      </c>
      <c r="B182" s="2">
        <v>1706</v>
      </c>
      <c r="C182" s="2">
        <v>1342</v>
      </c>
      <c r="D182" s="2">
        <v>3048</v>
      </c>
    </row>
    <row r="183" spans="1:4" ht="15" thickBot="1" x14ac:dyDescent="0.4">
      <c r="A183" s="1" t="s">
        <v>182</v>
      </c>
      <c r="B183" s="2">
        <v>12800</v>
      </c>
      <c r="C183" s="2">
        <v>8131</v>
      </c>
      <c r="D183" s="2">
        <v>20931</v>
      </c>
    </row>
    <row r="184" spans="1:4" ht="15" thickBot="1" x14ac:dyDescent="0.4">
      <c r="A184" s="1" t="s">
        <v>183</v>
      </c>
      <c r="B184" s="2">
        <v>4461</v>
      </c>
      <c r="C184" s="2">
        <v>729</v>
      </c>
      <c r="D184" s="2">
        <v>5190</v>
      </c>
    </row>
    <row r="185" spans="1:4" ht="15" thickBot="1" x14ac:dyDescent="0.4">
      <c r="A185" s="1" t="s">
        <v>184</v>
      </c>
      <c r="B185" s="2">
        <v>12377</v>
      </c>
      <c r="C185" s="2">
        <v>7143</v>
      </c>
      <c r="D185" s="2">
        <v>19520</v>
      </c>
    </row>
    <row r="186" spans="1:4" ht="15" thickBot="1" x14ac:dyDescent="0.4">
      <c r="A186" s="1" t="s">
        <v>185</v>
      </c>
      <c r="B186" s="2">
        <v>19313</v>
      </c>
      <c r="C186" s="2">
        <v>3069</v>
      </c>
      <c r="D186" s="2">
        <v>22382</v>
      </c>
    </row>
    <row r="187" spans="1:4" ht="15" thickBot="1" x14ac:dyDescent="0.4">
      <c r="A187" s="1" t="s">
        <v>186</v>
      </c>
      <c r="B187" s="2">
        <v>30689</v>
      </c>
      <c r="C187" s="2">
        <v>7109</v>
      </c>
      <c r="D187" s="2">
        <v>37798</v>
      </c>
    </row>
    <row r="188" spans="1:4" ht="15" thickBot="1" x14ac:dyDescent="0.4">
      <c r="A188" s="1" t="s">
        <v>187</v>
      </c>
      <c r="B188" s="2">
        <v>6203</v>
      </c>
      <c r="C188" s="2">
        <v>2954</v>
      </c>
      <c r="D188" s="2">
        <v>9157</v>
      </c>
    </row>
    <row r="189" spans="1:4" ht="15" thickBot="1" x14ac:dyDescent="0.4">
      <c r="A189" s="1" t="s">
        <v>188</v>
      </c>
      <c r="B189" s="2">
        <v>22432</v>
      </c>
      <c r="C189" s="2">
        <v>4871</v>
      </c>
      <c r="D189" s="2">
        <v>27303</v>
      </c>
    </row>
    <row r="190" spans="1:4" ht="15" thickBot="1" x14ac:dyDescent="0.4">
      <c r="A190" s="1" t="s">
        <v>189</v>
      </c>
      <c r="B190" s="2">
        <v>28371</v>
      </c>
      <c r="C190" s="2">
        <v>8959</v>
      </c>
      <c r="D190" s="2">
        <v>37330</v>
      </c>
    </row>
    <row r="191" spans="1:4" ht="15" thickBot="1" x14ac:dyDescent="0.4">
      <c r="A191" s="1" t="s">
        <v>190</v>
      </c>
      <c r="B191" s="2">
        <v>11241</v>
      </c>
      <c r="C191" s="2">
        <v>2421</v>
      </c>
      <c r="D191" s="2">
        <v>13662</v>
      </c>
    </row>
    <row r="192" spans="1:4" ht="15" thickBot="1" x14ac:dyDescent="0.4">
      <c r="A192" s="1" t="s">
        <v>191</v>
      </c>
      <c r="B192" s="2">
        <v>4991</v>
      </c>
      <c r="C192" s="2">
        <v>1084</v>
      </c>
      <c r="D192" s="2">
        <v>6075</v>
      </c>
    </row>
    <row r="193" spans="1:4" ht="15" thickBot="1" x14ac:dyDescent="0.4">
      <c r="A193" s="1" t="s">
        <v>192</v>
      </c>
      <c r="B193" s="2">
        <v>5475</v>
      </c>
      <c r="C193" s="2">
        <v>3234</v>
      </c>
      <c r="D193" s="2">
        <v>8709</v>
      </c>
    </row>
    <row r="194" spans="1:4" ht="15" thickBot="1" x14ac:dyDescent="0.4">
      <c r="A194" s="1" t="s">
        <v>193</v>
      </c>
      <c r="B194" s="2">
        <v>18110</v>
      </c>
      <c r="C194" s="2">
        <v>3403</v>
      </c>
      <c r="D194" s="2">
        <v>21513</v>
      </c>
    </row>
    <row r="195" spans="1:4" ht="15" thickBot="1" x14ac:dyDescent="0.4">
      <c r="A195" s="1" t="s">
        <v>194</v>
      </c>
      <c r="B195" s="2">
        <v>2202</v>
      </c>
      <c r="C195" s="2">
        <v>877</v>
      </c>
      <c r="D195" s="2">
        <v>3079</v>
      </c>
    </row>
    <row r="196" spans="1:4" ht="15" thickBot="1" x14ac:dyDescent="0.4">
      <c r="A196" s="1" t="s">
        <v>195</v>
      </c>
      <c r="B196" s="2">
        <v>714</v>
      </c>
      <c r="C196" s="2">
        <v>491</v>
      </c>
      <c r="D196" s="2">
        <v>1205</v>
      </c>
    </row>
    <row r="197" spans="1:4" ht="15" thickBot="1" x14ac:dyDescent="0.4">
      <c r="A197" s="1" t="s">
        <v>196</v>
      </c>
      <c r="B197" s="2">
        <v>8912</v>
      </c>
      <c r="C197" s="2">
        <v>1521</v>
      </c>
      <c r="D197" s="2">
        <v>10433</v>
      </c>
    </row>
    <row r="198" spans="1:4" ht="15" thickBot="1" x14ac:dyDescent="0.4">
      <c r="A198" s="1" t="s">
        <v>197</v>
      </c>
      <c r="B198" s="2">
        <v>1261</v>
      </c>
      <c r="C198" s="2">
        <v>558</v>
      </c>
      <c r="D198" s="2">
        <v>1819</v>
      </c>
    </row>
    <row r="199" spans="1:4" ht="15" thickBot="1" x14ac:dyDescent="0.4">
      <c r="A199" s="1" t="s">
        <v>198</v>
      </c>
      <c r="B199" s="2">
        <v>707</v>
      </c>
      <c r="C199" s="2">
        <v>319</v>
      </c>
      <c r="D199" s="2">
        <v>1026</v>
      </c>
    </row>
    <row r="200" spans="1:4" ht="15" thickBot="1" x14ac:dyDescent="0.4">
      <c r="A200" s="1" t="s">
        <v>199</v>
      </c>
      <c r="B200" s="2">
        <v>19295</v>
      </c>
      <c r="C200" s="2">
        <v>2537</v>
      </c>
      <c r="D200" s="2">
        <v>21832</v>
      </c>
    </row>
    <row r="201" spans="1:4" ht="15" thickBot="1" x14ac:dyDescent="0.4">
      <c r="A201" s="1" t="s">
        <v>200</v>
      </c>
      <c r="B201" s="2">
        <v>16617</v>
      </c>
      <c r="C201" s="2">
        <v>12143</v>
      </c>
      <c r="D201" s="2">
        <v>28760</v>
      </c>
    </row>
    <row r="202" spans="1:4" ht="15" thickBot="1" x14ac:dyDescent="0.4">
      <c r="A202" s="1" t="s">
        <v>201</v>
      </c>
      <c r="B202" s="2">
        <v>5168</v>
      </c>
      <c r="C202" s="2">
        <v>2078</v>
      </c>
      <c r="D202" s="2">
        <v>7246</v>
      </c>
    </row>
    <row r="203" spans="1:4" ht="15" thickBot="1" x14ac:dyDescent="0.4">
      <c r="A203" s="1" t="s">
        <v>202</v>
      </c>
      <c r="B203" s="2">
        <v>6588</v>
      </c>
      <c r="C203" s="2">
        <v>2687</v>
      </c>
      <c r="D203" s="2">
        <v>9275</v>
      </c>
    </row>
    <row r="204" spans="1:4" ht="15" thickBot="1" x14ac:dyDescent="0.4">
      <c r="A204" s="1" t="s">
        <v>203</v>
      </c>
      <c r="B204" s="2">
        <v>14928</v>
      </c>
      <c r="C204" s="2">
        <v>3569</v>
      </c>
      <c r="D204" s="2">
        <v>18497</v>
      </c>
    </row>
    <row r="205" spans="1:4" ht="15" thickBot="1" x14ac:dyDescent="0.4">
      <c r="A205" s="1" t="s">
        <v>204</v>
      </c>
      <c r="B205" s="2">
        <v>7445</v>
      </c>
      <c r="C205" s="2">
        <v>3451</v>
      </c>
      <c r="D205" s="2">
        <v>10896</v>
      </c>
    </row>
    <row r="206" spans="1:4" ht="15" thickBot="1" x14ac:dyDescent="0.4">
      <c r="A206" s="1" t="s">
        <v>205</v>
      </c>
      <c r="B206" s="2">
        <v>16324</v>
      </c>
      <c r="C206" s="2">
        <v>3640</v>
      </c>
      <c r="D206" s="2">
        <v>19964</v>
      </c>
    </row>
    <row r="207" spans="1:4" ht="15" thickBot="1" x14ac:dyDescent="0.4">
      <c r="A207" s="1" t="s">
        <v>206</v>
      </c>
      <c r="B207" s="2">
        <v>1643</v>
      </c>
      <c r="C207" s="2">
        <v>1532</v>
      </c>
      <c r="D207" s="2">
        <v>3175</v>
      </c>
    </row>
    <row r="208" spans="1:4" ht="15" thickBot="1" x14ac:dyDescent="0.4">
      <c r="A208" s="1" t="s">
        <v>207</v>
      </c>
      <c r="B208" s="2">
        <v>968</v>
      </c>
      <c r="C208" s="2">
        <v>441</v>
      </c>
      <c r="D208" s="2">
        <v>1409</v>
      </c>
    </row>
    <row r="209" spans="1:4" ht="15" thickBot="1" x14ac:dyDescent="0.4">
      <c r="A209" s="1" t="s">
        <v>208</v>
      </c>
      <c r="B209" s="2">
        <v>21591</v>
      </c>
      <c r="C209" s="2">
        <v>5187</v>
      </c>
      <c r="D209" s="2">
        <v>26778</v>
      </c>
    </row>
    <row r="210" spans="1:4" ht="15" thickBot="1" x14ac:dyDescent="0.4">
      <c r="A210" s="1" t="s">
        <v>209</v>
      </c>
      <c r="B210" s="2">
        <v>32438</v>
      </c>
      <c r="C210" s="2">
        <v>18125</v>
      </c>
      <c r="D210" s="2">
        <v>50563</v>
      </c>
    </row>
    <row r="211" spans="1:4" ht="15" thickBot="1" x14ac:dyDescent="0.4">
      <c r="A211" s="1" t="s">
        <v>210</v>
      </c>
      <c r="B211" s="2">
        <v>62370</v>
      </c>
      <c r="C211" s="2">
        <v>19677</v>
      </c>
      <c r="D211" s="2">
        <v>82047</v>
      </c>
    </row>
    <row r="212" spans="1:4" ht="15" thickBot="1" x14ac:dyDescent="0.4">
      <c r="A212" s="1" t="s">
        <v>211</v>
      </c>
      <c r="B212" s="2">
        <v>4679</v>
      </c>
      <c r="C212" s="2">
        <v>3746</v>
      </c>
      <c r="D212" s="2">
        <v>8425</v>
      </c>
    </row>
    <row r="213" spans="1:4" ht="15" thickBot="1" x14ac:dyDescent="0.4">
      <c r="A213" s="1" t="s">
        <v>212</v>
      </c>
      <c r="B213" s="2">
        <v>4686</v>
      </c>
      <c r="C213" s="2">
        <v>887</v>
      </c>
      <c r="D213" s="2">
        <v>5573</v>
      </c>
    </row>
    <row r="214" spans="1:4" ht="15" thickBot="1" x14ac:dyDescent="0.4">
      <c r="A214" s="1" t="s">
        <v>213</v>
      </c>
      <c r="B214" s="2">
        <v>4193</v>
      </c>
      <c r="C214" s="2">
        <v>1996</v>
      </c>
      <c r="D214" s="2">
        <v>6189</v>
      </c>
    </row>
    <row r="215" spans="1:4" ht="15" thickBot="1" x14ac:dyDescent="0.4">
      <c r="A215" s="1" t="s">
        <v>214</v>
      </c>
      <c r="B215" s="2">
        <v>81445</v>
      </c>
      <c r="C215" s="2">
        <v>21245</v>
      </c>
      <c r="D215" s="2">
        <v>102690</v>
      </c>
    </row>
    <row r="216" spans="1:4" ht="15" thickBot="1" x14ac:dyDescent="0.4">
      <c r="A216" s="1" t="s">
        <v>215</v>
      </c>
      <c r="B216" s="2">
        <v>18682</v>
      </c>
      <c r="C216" s="2">
        <v>7872</v>
      </c>
      <c r="D216" s="2">
        <v>26554</v>
      </c>
    </row>
    <row r="217" spans="1:4" ht="15" thickBot="1" x14ac:dyDescent="0.4">
      <c r="A217" s="1" t="s">
        <v>216</v>
      </c>
      <c r="B217" s="2">
        <v>21217</v>
      </c>
      <c r="C217" s="2">
        <v>3194</v>
      </c>
      <c r="D217" s="2">
        <v>24411</v>
      </c>
    </row>
    <row r="218" spans="1:4" ht="15" thickBot="1" x14ac:dyDescent="0.4">
      <c r="A218" s="1" t="s">
        <v>217</v>
      </c>
      <c r="B218" s="2">
        <v>17245</v>
      </c>
      <c r="C218" s="2">
        <v>0</v>
      </c>
      <c r="D218" s="2">
        <v>17245</v>
      </c>
    </row>
    <row r="219" spans="1:4" ht="15" thickBot="1" x14ac:dyDescent="0.4">
      <c r="A219" s="1" t="s">
        <v>218</v>
      </c>
      <c r="B219" s="2">
        <v>11424</v>
      </c>
      <c r="C219" s="2">
        <v>3544</v>
      </c>
      <c r="D219" s="2">
        <v>14968</v>
      </c>
    </row>
    <row r="220" spans="1:4" ht="15" thickBot="1" x14ac:dyDescent="0.4">
      <c r="A220" s="1" t="s">
        <v>219</v>
      </c>
      <c r="B220" s="2">
        <v>7980</v>
      </c>
      <c r="C220" s="2">
        <v>1989</v>
      </c>
      <c r="D220" s="2">
        <v>9969</v>
      </c>
    </row>
    <row r="221" spans="1:4" ht="15" thickBot="1" x14ac:dyDescent="0.4">
      <c r="A221" s="1" t="s">
        <v>220</v>
      </c>
      <c r="B221" s="2">
        <v>10105</v>
      </c>
      <c r="C221" s="2">
        <v>2282</v>
      </c>
      <c r="D221" s="2">
        <v>12387</v>
      </c>
    </row>
    <row r="222" spans="1:4" ht="15" thickBot="1" x14ac:dyDescent="0.4">
      <c r="A222" s="1" t="s">
        <v>221</v>
      </c>
      <c r="B222" s="2">
        <v>5244</v>
      </c>
      <c r="C222" s="2">
        <v>1762</v>
      </c>
      <c r="D222" s="2">
        <v>7006</v>
      </c>
    </row>
    <row r="223" spans="1:4" ht="15" thickBot="1" x14ac:dyDescent="0.4">
      <c r="A223" s="1" t="s">
        <v>222</v>
      </c>
      <c r="B223" s="2">
        <v>200762</v>
      </c>
      <c r="C223" s="2">
        <v>63404</v>
      </c>
      <c r="D223" s="2">
        <v>264166</v>
      </c>
    </row>
    <row r="224" spans="1:4" ht="15" thickBot="1" x14ac:dyDescent="0.4">
      <c r="A224" s="1" t="s">
        <v>223</v>
      </c>
      <c r="B224" s="2">
        <v>20351</v>
      </c>
      <c r="C224" s="2">
        <v>4860</v>
      </c>
      <c r="D224" s="2">
        <v>25211</v>
      </c>
    </row>
    <row r="225" spans="1:4" ht="15" thickBot="1" x14ac:dyDescent="0.4">
      <c r="A225" s="1" t="s">
        <v>224</v>
      </c>
      <c r="B225" s="2">
        <v>18210</v>
      </c>
      <c r="C225" s="2">
        <v>9345</v>
      </c>
      <c r="D225" s="2">
        <v>27555</v>
      </c>
    </row>
    <row r="226" spans="1:4" ht="15" thickBot="1" x14ac:dyDescent="0.4">
      <c r="A226" s="1" t="s">
        <v>225</v>
      </c>
      <c r="B226" s="2">
        <v>22290</v>
      </c>
      <c r="C226" s="2">
        <v>3766</v>
      </c>
      <c r="D226" s="2">
        <v>26056</v>
      </c>
    </row>
    <row r="227" spans="1:4" ht="15" thickBot="1" x14ac:dyDescent="0.4">
      <c r="A227" s="1" t="s">
        <v>226</v>
      </c>
      <c r="B227" s="2">
        <v>3920</v>
      </c>
      <c r="C227" s="2">
        <v>757</v>
      </c>
      <c r="D227" s="2">
        <v>4677</v>
      </c>
    </row>
    <row r="228" spans="1:4" ht="15" thickBot="1" x14ac:dyDescent="0.4">
      <c r="A228" s="1" t="s">
        <v>227</v>
      </c>
      <c r="B228" s="2">
        <v>30075</v>
      </c>
      <c r="C228" s="2">
        <v>3837</v>
      </c>
      <c r="D228" s="2">
        <v>33912</v>
      </c>
    </row>
    <row r="229" spans="1:4" ht="15" thickBot="1" x14ac:dyDescent="0.4">
      <c r="A229" s="1" t="s">
        <v>228</v>
      </c>
      <c r="B229" s="2">
        <v>5258</v>
      </c>
      <c r="C229" s="2">
        <v>1332</v>
      </c>
      <c r="D229" s="2">
        <v>6590</v>
      </c>
    </row>
    <row r="230" spans="1:4" ht="15" thickBot="1" x14ac:dyDescent="0.4">
      <c r="A230" s="1" t="s">
        <v>229</v>
      </c>
      <c r="B230" s="2">
        <v>17186</v>
      </c>
      <c r="C230" s="2">
        <v>3274</v>
      </c>
      <c r="D230" s="2">
        <v>20460</v>
      </c>
    </row>
    <row r="231" spans="1:4" ht="15" thickBot="1" x14ac:dyDescent="0.4">
      <c r="A231" s="1" t="s">
        <v>230</v>
      </c>
      <c r="B231" s="2">
        <v>6226</v>
      </c>
      <c r="C231" s="2">
        <v>935</v>
      </c>
      <c r="D231" s="2">
        <v>7161</v>
      </c>
    </row>
    <row r="232" spans="1:4" ht="15" thickBot="1" x14ac:dyDescent="0.4">
      <c r="A232" s="1" t="s">
        <v>231</v>
      </c>
      <c r="B232" s="2">
        <v>45656</v>
      </c>
      <c r="C232" s="2">
        <v>9743</v>
      </c>
      <c r="D232" s="2">
        <v>55399</v>
      </c>
    </row>
    <row r="233" spans="1:4" ht="15" thickBot="1" x14ac:dyDescent="0.4">
      <c r="A233" s="1" t="s">
        <v>232</v>
      </c>
      <c r="B233" s="2">
        <v>22729</v>
      </c>
      <c r="C233" s="2">
        <v>4434</v>
      </c>
      <c r="D233" s="2">
        <v>27163</v>
      </c>
    </row>
    <row r="234" spans="1:4" ht="15" thickBot="1" x14ac:dyDescent="0.4">
      <c r="A234" s="1" t="s">
        <v>233</v>
      </c>
      <c r="B234" s="2">
        <v>59801</v>
      </c>
      <c r="C234" s="2">
        <v>6430</v>
      </c>
      <c r="D234" s="2">
        <v>66231</v>
      </c>
    </row>
    <row r="235" spans="1:4" ht="15" thickBot="1" x14ac:dyDescent="0.4">
      <c r="A235" s="1" t="s">
        <v>234</v>
      </c>
      <c r="B235" s="2">
        <v>4921</v>
      </c>
      <c r="C235" s="2">
        <v>388</v>
      </c>
      <c r="D235" s="2">
        <v>5309</v>
      </c>
    </row>
    <row r="236" spans="1:4" ht="15" thickBot="1" x14ac:dyDescent="0.4">
      <c r="A236" s="1" t="s">
        <v>235</v>
      </c>
      <c r="B236" s="2">
        <v>21821</v>
      </c>
      <c r="C236" s="2">
        <v>5078</v>
      </c>
      <c r="D236" s="2">
        <v>26899</v>
      </c>
    </row>
    <row r="237" spans="1:4" ht="15" thickBot="1" x14ac:dyDescent="0.4">
      <c r="A237" s="1" t="s">
        <v>236</v>
      </c>
      <c r="B237" s="2">
        <v>36691</v>
      </c>
      <c r="C237" s="2">
        <v>9987</v>
      </c>
      <c r="D237" s="2">
        <v>46678</v>
      </c>
    </row>
    <row r="238" spans="1:4" ht="15" thickBot="1" x14ac:dyDescent="0.4">
      <c r="A238" s="1" t="s">
        <v>237</v>
      </c>
      <c r="B238" s="2">
        <v>1300</v>
      </c>
      <c r="C238" s="2">
        <v>2142</v>
      </c>
      <c r="D238" s="2">
        <v>3442</v>
      </c>
    </row>
    <row r="239" spans="1:4" ht="15" thickBot="1" x14ac:dyDescent="0.4">
      <c r="A239" s="1" t="s">
        <v>238</v>
      </c>
      <c r="B239" s="2">
        <v>3485</v>
      </c>
      <c r="C239" s="2">
        <v>129</v>
      </c>
      <c r="D239" s="2">
        <v>3614</v>
      </c>
    </row>
    <row r="240" spans="1:4" ht="15" thickBot="1" x14ac:dyDescent="0.4">
      <c r="A240" s="1" t="s">
        <v>239</v>
      </c>
      <c r="B240" s="2">
        <v>80344</v>
      </c>
      <c r="C240" s="2">
        <v>14485</v>
      </c>
      <c r="D240" s="2">
        <v>94829</v>
      </c>
    </row>
    <row r="241" spans="1:4" ht="15" thickBot="1" x14ac:dyDescent="0.4">
      <c r="A241" s="1" t="s">
        <v>240</v>
      </c>
      <c r="B241" s="2">
        <v>23834</v>
      </c>
      <c r="C241" s="2">
        <v>2456</v>
      </c>
      <c r="D241" s="2">
        <v>26290</v>
      </c>
    </row>
    <row r="242" spans="1:4" ht="15" thickBot="1" x14ac:dyDescent="0.4">
      <c r="A242" s="1" t="s">
        <v>241</v>
      </c>
      <c r="B242" s="2">
        <v>1472</v>
      </c>
      <c r="C242" s="2">
        <v>1673</v>
      </c>
      <c r="D242" s="2">
        <v>3145</v>
      </c>
    </row>
    <row r="243" spans="1:4" ht="15" thickBot="1" x14ac:dyDescent="0.4">
      <c r="A243" s="1" t="s">
        <v>242</v>
      </c>
      <c r="B243" s="2">
        <v>7146</v>
      </c>
      <c r="C243" s="2">
        <v>1191</v>
      </c>
      <c r="D243" s="2">
        <v>8337</v>
      </c>
    </row>
    <row r="244" spans="1:4" ht="15" thickBot="1" x14ac:dyDescent="0.4">
      <c r="A244" s="1" t="s">
        <v>243</v>
      </c>
      <c r="B244" s="2">
        <v>10829</v>
      </c>
      <c r="C244" s="2">
        <v>2559</v>
      </c>
      <c r="D244" s="2">
        <v>13388</v>
      </c>
    </row>
    <row r="245" spans="1:4" ht="15" thickBot="1" x14ac:dyDescent="0.4">
      <c r="A245" s="1" t="s">
        <v>244</v>
      </c>
      <c r="B245" s="2">
        <v>23904</v>
      </c>
      <c r="C245" s="2">
        <v>3687</v>
      </c>
      <c r="D245" s="2">
        <v>27591</v>
      </c>
    </row>
    <row r="246" spans="1:4" ht="15" thickBot="1" x14ac:dyDescent="0.4">
      <c r="A246" s="1" t="s">
        <v>245</v>
      </c>
      <c r="B246" s="2">
        <v>8712</v>
      </c>
      <c r="C246" s="2">
        <v>2564</v>
      </c>
      <c r="D246" s="2">
        <v>11276</v>
      </c>
    </row>
    <row r="247" spans="1:4" ht="15" thickBot="1" x14ac:dyDescent="0.4">
      <c r="A247" s="1" t="s">
        <v>246</v>
      </c>
      <c r="B247" s="2">
        <v>18485</v>
      </c>
      <c r="C247" s="2">
        <v>7834</v>
      </c>
      <c r="D247" s="2">
        <v>26319</v>
      </c>
    </row>
    <row r="248" spans="1:4" ht="15" thickBot="1" x14ac:dyDescent="0.4">
      <c r="A248" s="1" t="s">
        <v>247</v>
      </c>
      <c r="B248" s="2">
        <v>1410</v>
      </c>
      <c r="C248" s="2">
        <v>1971</v>
      </c>
      <c r="D248" s="2">
        <v>3381</v>
      </c>
    </row>
    <row r="249" spans="1:4" ht="15" thickBot="1" x14ac:dyDescent="0.4">
      <c r="A249" s="1" t="s">
        <v>248</v>
      </c>
      <c r="B249" s="2">
        <v>1171</v>
      </c>
      <c r="C249" s="2">
        <v>379</v>
      </c>
      <c r="D249" s="2">
        <v>1550</v>
      </c>
    </row>
    <row r="250" spans="1:4" ht="15" thickBot="1" x14ac:dyDescent="0.4">
      <c r="A250" s="1" t="s">
        <v>249</v>
      </c>
      <c r="B250" s="2">
        <v>67584</v>
      </c>
      <c r="C250" s="2">
        <v>18633</v>
      </c>
      <c r="D250" s="2">
        <v>86217</v>
      </c>
    </row>
    <row r="251" spans="1:4" ht="15" thickBot="1" x14ac:dyDescent="0.4">
      <c r="A251" s="1" t="s">
        <v>250</v>
      </c>
      <c r="B251" s="2">
        <v>12383</v>
      </c>
      <c r="C251" s="2">
        <v>1972</v>
      </c>
      <c r="D251" s="2">
        <v>14355</v>
      </c>
    </row>
    <row r="252" spans="1:4" ht="15" thickBot="1" x14ac:dyDescent="0.4">
      <c r="A252" s="1" t="s">
        <v>251</v>
      </c>
      <c r="B252" s="2">
        <v>77088</v>
      </c>
      <c r="C252" s="2">
        <v>34033</v>
      </c>
      <c r="D252" s="2">
        <v>111121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19157-C85D-4587-A2A1-339A127061D1}">
  <sheetPr codeName="Sheet3"/>
  <dimension ref="A1:I252"/>
  <sheetViews>
    <sheetView topLeftCell="B1" workbookViewId="0">
      <selection activeCell="O17" sqref="O17"/>
    </sheetView>
  </sheetViews>
  <sheetFormatPr defaultRowHeight="14.5" x14ac:dyDescent="0.35"/>
  <cols>
    <col min="1" max="1" width="21.81640625" customWidth="1"/>
    <col min="2" max="2" width="39.7265625" customWidth="1"/>
    <col min="3" max="3" width="39" customWidth="1"/>
    <col min="4" max="4" width="8.7265625" style="6"/>
    <col min="8" max="8" width="23.08984375" customWidth="1"/>
    <col min="9" max="9" width="12.54296875" bestFit="1" customWidth="1"/>
  </cols>
  <sheetData>
    <row r="1" spans="1:9" ht="15" thickBot="1" x14ac:dyDescent="0.4">
      <c r="A1" s="4" t="s">
        <v>0</v>
      </c>
      <c r="B1" s="4" t="s">
        <v>259</v>
      </c>
      <c r="C1" s="4" t="s">
        <v>260</v>
      </c>
      <c r="D1" s="4" t="s">
        <v>314</v>
      </c>
      <c r="H1" t="s">
        <v>315</v>
      </c>
      <c r="I1" t="s">
        <v>311</v>
      </c>
    </row>
    <row r="2" spans="1:9" ht="15" thickBot="1" x14ac:dyDescent="0.4">
      <c r="A2" s="1" t="s">
        <v>1</v>
      </c>
      <c r="B2" s="3" t="s">
        <v>261</v>
      </c>
      <c r="C2" s="3" t="s">
        <v>258</v>
      </c>
      <c r="D2">
        <f>IF(Table3[[#This Row],[8.3 Attendance in Library per Typical Week]] = "N/A", 0, B2)</f>
        <v>0</v>
      </c>
      <c r="H2" s="9">
        <v>0</v>
      </c>
      <c r="I2" s="8">
        <f>COUNT(Table3[Weekly Attendance (Text Removed)], 0)</f>
        <v>252</v>
      </c>
    </row>
    <row r="3" spans="1:9" ht="15" thickBot="1" x14ac:dyDescent="0.4">
      <c r="A3" s="1" t="s">
        <v>2</v>
      </c>
      <c r="B3" s="3" t="s">
        <v>261</v>
      </c>
      <c r="C3" s="3" t="s">
        <v>258</v>
      </c>
      <c r="D3" s="6">
        <f>IF(Table3[[#This Row],[8.3 Attendance in Library per Typical Week]] = "N/A", 0, Table3[[#This Row],[8.3 Attendance in Library per Typical Week]])</f>
        <v>0</v>
      </c>
      <c r="H3" s="7" t="s">
        <v>316</v>
      </c>
      <c r="I3" s="6">
        <f>COUNTIFS(Table3[Weekly Attendance (Text Removed)],"&gt;0", Table3[Weekly Attendance (Text Removed)], "&lt;=10")</f>
        <v>0</v>
      </c>
    </row>
    <row r="4" spans="1:9" ht="15" thickBot="1" x14ac:dyDescent="0.4">
      <c r="A4" s="1" t="s">
        <v>3</v>
      </c>
      <c r="B4" s="3" t="s">
        <v>261</v>
      </c>
      <c r="C4" s="3" t="s">
        <v>258</v>
      </c>
      <c r="D4" s="6">
        <f>IF(Table3[[#This Row],[8.3 Attendance in Library per Typical Week]] = "N/A", 0, Table3[[#This Row],[8.3 Attendance in Library per Typical Week]])</f>
        <v>0</v>
      </c>
      <c r="H4" s="7" t="s">
        <v>317</v>
      </c>
      <c r="I4" s="6">
        <f>COUNTIFS(Table3[Weekly Attendance (Text Removed)],"&gt;10", Table3[Weekly Attendance (Text Removed)], "&lt;=50")</f>
        <v>2</v>
      </c>
    </row>
    <row r="5" spans="1:9" ht="15" thickBot="1" x14ac:dyDescent="0.4">
      <c r="A5" s="1" t="s">
        <v>4</v>
      </c>
      <c r="B5" s="2">
        <v>500</v>
      </c>
      <c r="C5" s="2">
        <v>26000</v>
      </c>
      <c r="D5" s="6">
        <f>IF(Table3[[#This Row],[8.3 Attendance in Library per Typical Week]] = "N/A", 0, Table3[[#This Row],[8.3 Attendance in Library per Typical Week]])</f>
        <v>500</v>
      </c>
      <c r="H5" s="7" t="s">
        <v>318</v>
      </c>
      <c r="I5" s="6">
        <f>COUNTIFS(Table3[Weekly Attendance (Text Removed)],"&gt;50", Table3[Weekly Attendance (Text Removed)], "&lt;=200")</f>
        <v>8</v>
      </c>
    </row>
    <row r="6" spans="1:9" ht="15" thickBot="1" x14ac:dyDescent="0.4">
      <c r="A6" s="1" t="s">
        <v>5</v>
      </c>
      <c r="B6" s="2">
        <v>200</v>
      </c>
      <c r="C6" s="2">
        <v>10400</v>
      </c>
      <c r="D6" s="6">
        <f>IF(Table3[[#This Row],[8.3 Attendance in Library per Typical Week]] = "N/A", 0, Table3[[#This Row],[8.3 Attendance in Library per Typical Week]])</f>
        <v>200</v>
      </c>
      <c r="H6" s="7" t="s">
        <v>319</v>
      </c>
      <c r="I6" s="6">
        <f>COUNTIFS(Table3[Weekly Attendance (Text Removed)],"&gt;200", Table3[Weekly Attendance (Text Removed)], "&lt;=500")</f>
        <v>14</v>
      </c>
    </row>
    <row r="7" spans="1:9" ht="15" thickBot="1" x14ac:dyDescent="0.4">
      <c r="A7" s="1" t="s">
        <v>6</v>
      </c>
      <c r="B7" s="2">
        <v>997</v>
      </c>
      <c r="C7" s="2">
        <v>51844</v>
      </c>
      <c r="D7" s="6">
        <f>IF(Table3[[#This Row],[8.3 Attendance in Library per Typical Week]] = "N/A", 0, Table3[[#This Row],[8.3 Attendance in Library per Typical Week]])</f>
        <v>997</v>
      </c>
      <c r="H7" s="7" t="s">
        <v>320</v>
      </c>
      <c r="I7" s="6">
        <f>COUNTIFS(Table3[Weekly Attendance (Text Removed)],"&gt;500", Table3[Weekly Attendance (Text Removed)], "&lt;=1000")</f>
        <v>12</v>
      </c>
    </row>
    <row r="8" spans="1:9" ht="15" thickBot="1" x14ac:dyDescent="0.4">
      <c r="A8" s="1" t="s">
        <v>7</v>
      </c>
      <c r="B8" s="2">
        <v>284</v>
      </c>
      <c r="C8" s="2">
        <v>14768</v>
      </c>
      <c r="D8" s="6">
        <f>IF(Table3[[#This Row],[8.3 Attendance in Library per Typical Week]] = "N/A", 0, Table3[[#This Row],[8.3 Attendance in Library per Typical Week]])</f>
        <v>284</v>
      </c>
      <c r="H8" s="7" t="s">
        <v>321</v>
      </c>
      <c r="I8" s="6">
        <f>COUNTIFS(Table3[Weekly Attendance (Text Removed)],"&gt;1000", Table3[Weekly Attendance (Text Removed)], "&lt;=5000")</f>
        <v>23</v>
      </c>
    </row>
    <row r="9" spans="1:9" ht="15" thickBot="1" x14ac:dyDescent="0.4">
      <c r="A9" s="1" t="s">
        <v>8</v>
      </c>
      <c r="B9" s="3" t="s">
        <v>261</v>
      </c>
      <c r="C9" s="3" t="s">
        <v>258</v>
      </c>
      <c r="D9" s="6">
        <f>IF(Table3[[#This Row],[8.3 Attendance in Library per Typical Week]] = "N/A", 0, Table3[[#This Row],[8.3 Attendance in Library per Typical Week]])</f>
        <v>0</v>
      </c>
      <c r="H9" s="7" t="s">
        <v>322</v>
      </c>
      <c r="I9" s="6">
        <f>COUNTIFS(Table3[Weekly Attendance (Text Removed)],"&gt;5000", Table3[Weekly Attendance (Text Removed)], "&lt;=10000")</f>
        <v>2</v>
      </c>
    </row>
    <row r="10" spans="1:9" ht="15" thickBot="1" x14ac:dyDescent="0.4">
      <c r="A10" s="1" t="s">
        <v>9</v>
      </c>
      <c r="B10" s="2">
        <v>518</v>
      </c>
      <c r="C10" s="2">
        <v>26936</v>
      </c>
      <c r="D10" s="6">
        <f>IF(Table3[[#This Row],[8.3 Attendance in Library per Typical Week]] = "N/A", 0, Table3[[#This Row],[8.3 Attendance in Library per Typical Week]])</f>
        <v>518</v>
      </c>
      <c r="H10" s="7" t="s">
        <v>323</v>
      </c>
      <c r="I10" s="6">
        <f>COUNTIFS(Table3[Weekly Attendance (Text Removed)],"&gt;10000", Table3[Weekly Attendance (Text Removed)], "&lt;=20000")</f>
        <v>1</v>
      </c>
    </row>
    <row r="11" spans="1:9" ht="15" thickBot="1" x14ac:dyDescent="0.4">
      <c r="A11" s="1" t="s">
        <v>10</v>
      </c>
      <c r="B11" s="2">
        <v>2565</v>
      </c>
      <c r="C11" s="2">
        <v>133380</v>
      </c>
      <c r="D11" s="6">
        <f>IF(Table3[[#This Row],[8.3 Attendance in Library per Typical Week]] = "N/A", 0, Table3[[#This Row],[8.3 Attendance in Library per Typical Week]])</f>
        <v>2565</v>
      </c>
      <c r="H11" s="7" t="s">
        <v>324</v>
      </c>
      <c r="I11" s="6">
        <f>COUNTIFS(Table3[Weekly Attendance (Text Removed)],"&gt;20000", Table3[Weekly Attendance (Text Removed)], "&lt;=50000")</f>
        <v>1</v>
      </c>
    </row>
    <row r="12" spans="1:9" ht="15" thickBot="1" x14ac:dyDescent="0.4">
      <c r="A12" s="1" t="s">
        <v>11</v>
      </c>
      <c r="B12" s="3" t="s">
        <v>261</v>
      </c>
      <c r="C12" s="2">
        <v>0</v>
      </c>
      <c r="D12" s="6">
        <f>IF(Table3[[#This Row],[8.3 Attendance in Library per Typical Week]] = "N/A", 0, Table3[[#This Row],[8.3 Attendance in Library per Typical Week]])</f>
        <v>0</v>
      </c>
      <c r="H12" s="7" t="s">
        <v>325</v>
      </c>
      <c r="I12" s="6">
        <f>COUNTIFS(Table3[Weekly Attendance (Text Removed)],"&gt;50000")</f>
        <v>0</v>
      </c>
    </row>
    <row r="13" spans="1:9" ht="15" thickBot="1" x14ac:dyDescent="0.4">
      <c r="A13" s="1" t="s">
        <v>12</v>
      </c>
      <c r="B13" s="2">
        <v>3364</v>
      </c>
      <c r="C13" s="2">
        <v>174928</v>
      </c>
      <c r="D13" s="6">
        <f>IF(Table3[[#This Row],[8.3 Attendance in Library per Typical Week]] = "N/A", 0, Table3[[#This Row],[8.3 Attendance in Library per Typical Week]])</f>
        <v>3364</v>
      </c>
    </row>
    <row r="14" spans="1:9" ht="15" thickBot="1" x14ac:dyDescent="0.4">
      <c r="A14" s="1" t="s">
        <v>13</v>
      </c>
      <c r="B14" s="3" t="s">
        <v>261</v>
      </c>
      <c r="C14" s="3" t="s">
        <v>258</v>
      </c>
      <c r="D14" s="6">
        <f>IF(Table3[[#This Row],[8.3 Attendance in Library per Typical Week]] = "N/A", 0, Table3[[#This Row],[8.3 Attendance in Library per Typical Week]])</f>
        <v>0</v>
      </c>
    </row>
    <row r="15" spans="1:9" ht="15" thickBot="1" x14ac:dyDescent="0.4">
      <c r="A15" s="1" t="s">
        <v>14</v>
      </c>
      <c r="B15" s="3" t="s">
        <v>261</v>
      </c>
      <c r="C15" s="3" t="s">
        <v>258</v>
      </c>
      <c r="D15" s="6">
        <f>IF(Table3[[#This Row],[8.3 Attendance in Library per Typical Week]] = "N/A", 0, Table3[[#This Row],[8.3 Attendance in Library per Typical Week]])</f>
        <v>0</v>
      </c>
    </row>
    <row r="16" spans="1:9" ht="15" thickBot="1" x14ac:dyDescent="0.4">
      <c r="A16" s="1" t="s">
        <v>15</v>
      </c>
      <c r="B16" s="3" t="s">
        <v>261</v>
      </c>
      <c r="C16" s="3" t="s">
        <v>258</v>
      </c>
      <c r="D16" s="6">
        <f>IF(Table3[[#This Row],[8.3 Attendance in Library per Typical Week]] = "N/A", 0, Table3[[#This Row],[8.3 Attendance in Library per Typical Week]])</f>
        <v>0</v>
      </c>
    </row>
    <row r="17" spans="1:4" ht="15" thickBot="1" x14ac:dyDescent="0.4">
      <c r="A17" s="1" t="s">
        <v>16</v>
      </c>
      <c r="B17" s="3" t="s">
        <v>261</v>
      </c>
      <c r="C17" s="2">
        <v>0</v>
      </c>
      <c r="D17" s="6">
        <f>IF(Table3[[#This Row],[8.3 Attendance in Library per Typical Week]] = "N/A", 0, Table3[[#This Row],[8.3 Attendance in Library per Typical Week]])</f>
        <v>0</v>
      </c>
    </row>
    <row r="18" spans="1:4" ht="15" thickBot="1" x14ac:dyDescent="0.4">
      <c r="A18" s="1" t="s">
        <v>17</v>
      </c>
      <c r="B18" s="3" t="s">
        <v>261</v>
      </c>
      <c r="C18" s="3" t="s">
        <v>258</v>
      </c>
      <c r="D18" s="6">
        <f>IF(Table3[[#This Row],[8.3 Attendance in Library per Typical Week]] = "N/A", 0, Table3[[#This Row],[8.3 Attendance in Library per Typical Week]])</f>
        <v>0</v>
      </c>
    </row>
    <row r="19" spans="1:4" ht="15" thickBot="1" x14ac:dyDescent="0.4">
      <c r="A19" s="1" t="s">
        <v>18</v>
      </c>
      <c r="B19" s="2">
        <v>50</v>
      </c>
      <c r="C19" s="2">
        <v>2600</v>
      </c>
      <c r="D19" s="6">
        <f>IF(Table3[[#This Row],[8.3 Attendance in Library per Typical Week]] = "N/A", 0, Table3[[#This Row],[8.3 Attendance in Library per Typical Week]])</f>
        <v>50</v>
      </c>
    </row>
    <row r="20" spans="1:4" ht="15" thickBot="1" x14ac:dyDescent="0.4">
      <c r="A20" s="1" t="s">
        <v>19</v>
      </c>
      <c r="B20" s="3" t="s">
        <v>261</v>
      </c>
      <c r="C20" s="2">
        <v>0</v>
      </c>
      <c r="D20" s="6">
        <f>IF(Table3[[#This Row],[8.3 Attendance in Library per Typical Week]] = "N/A", 0, Table3[[#This Row],[8.3 Attendance in Library per Typical Week]])</f>
        <v>0</v>
      </c>
    </row>
    <row r="21" spans="1:4" ht="15" thickBot="1" x14ac:dyDescent="0.4">
      <c r="A21" s="1" t="s">
        <v>20</v>
      </c>
      <c r="B21" s="3" t="s">
        <v>261</v>
      </c>
      <c r="C21" s="3" t="s">
        <v>258</v>
      </c>
      <c r="D21" s="6">
        <f>IF(Table3[[#This Row],[8.3 Attendance in Library per Typical Week]] = "N/A", 0, Table3[[#This Row],[8.3 Attendance in Library per Typical Week]])</f>
        <v>0</v>
      </c>
    </row>
    <row r="22" spans="1:4" ht="15" thickBot="1" x14ac:dyDescent="0.4">
      <c r="A22" s="1" t="s">
        <v>21</v>
      </c>
      <c r="B22" s="3" t="s">
        <v>261</v>
      </c>
      <c r="C22" s="3" t="s">
        <v>258</v>
      </c>
      <c r="D22" s="6">
        <f>IF(Table3[[#This Row],[8.3 Attendance in Library per Typical Week]] = "N/A", 0, Table3[[#This Row],[8.3 Attendance in Library per Typical Week]])</f>
        <v>0</v>
      </c>
    </row>
    <row r="23" spans="1:4" ht="15" thickBot="1" x14ac:dyDescent="0.4">
      <c r="A23" s="1" t="s">
        <v>22</v>
      </c>
      <c r="B23" s="3" t="s">
        <v>261</v>
      </c>
      <c r="C23" s="3" t="s">
        <v>258</v>
      </c>
      <c r="D23" s="6">
        <f>IF(Table3[[#This Row],[8.3 Attendance in Library per Typical Week]] = "N/A", 0, Table3[[#This Row],[8.3 Attendance in Library per Typical Week]])</f>
        <v>0</v>
      </c>
    </row>
    <row r="24" spans="1:4" ht="15" thickBot="1" x14ac:dyDescent="0.4">
      <c r="A24" s="1" t="s">
        <v>23</v>
      </c>
      <c r="B24" s="3" t="s">
        <v>261</v>
      </c>
      <c r="C24" s="2">
        <v>0</v>
      </c>
      <c r="D24" s="6">
        <f>IF(Table3[[#This Row],[8.3 Attendance in Library per Typical Week]] = "N/A", 0, Table3[[#This Row],[8.3 Attendance in Library per Typical Week]])</f>
        <v>0</v>
      </c>
    </row>
    <row r="25" spans="1:4" ht="15" thickBot="1" x14ac:dyDescent="0.4">
      <c r="A25" s="1" t="s">
        <v>24</v>
      </c>
      <c r="B25" s="3" t="s">
        <v>261</v>
      </c>
      <c r="C25" s="3" t="s">
        <v>258</v>
      </c>
      <c r="D25" s="6">
        <f>IF(Table3[[#This Row],[8.3 Attendance in Library per Typical Week]] = "N/A", 0, Table3[[#This Row],[8.3 Attendance in Library per Typical Week]])</f>
        <v>0</v>
      </c>
    </row>
    <row r="26" spans="1:4" ht="15" thickBot="1" x14ac:dyDescent="0.4">
      <c r="A26" s="1" t="s">
        <v>25</v>
      </c>
      <c r="B26" s="3" t="s">
        <v>261</v>
      </c>
      <c r="C26" s="2">
        <v>0</v>
      </c>
      <c r="D26" s="6">
        <f>IF(Table3[[#This Row],[8.3 Attendance in Library per Typical Week]] = "N/A", 0, Table3[[#This Row],[8.3 Attendance in Library per Typical Week]])</f>
        <v>0</v>
      </c>
    </row>
    <row r="27" spans="1:4" ht="15" thickBot="1" x14ac:dyDescent="0.4">
      <c r="A27" s="1" t="s">
        <v>26</v>
      </c>
      <c r="B27" s="3" t="s">
        <v>261</v>
      </c>
      <c r="C27" s="3" t="s">
        <v>258</v>
      </c>
      <c r="D27" s="6">
        <f>IF(Table3[[#This Row],[8.3 Attendance in Library per Typical Week]] = "N/A", 0, Table3[[#This Row],[8.3 Attendance in Library per Typical Week]])</f>
        <v>0</v>
      </c>
    </row>
    <row r="28" spans="1:4" ht="15" thickBot="1" x14ac:dyDescent="0.4">
      <c r="A28" s="1" t="s">
        <v>27</v>
      </c>
      <c r="B28" s="3" t="s">
        <v>261</v>
      </c>
      <c r="C28" s="3" t="s">
        <v>258</v>
      </c>
      <c r="D28" s="6">
        <f>IF(Table3[[#This Row],[8.3 Attendance in Library per Typical Week]] = "N/A", 0, Table3[[#This Row],[8.3 Attendance in Library per Typical Week]])</f>
        <v>0</v>
      </c>
    </row>
    <row r="29" spans="1:4" ht="15" thickBot="1" x14ac:dyDescent="0.4">
      <c r="A29" s="1" t="s">
        <v>28</v>
      </c>
      <c r="B29" s="3" t="s">
        <v>261</v>
      </c>
      <c r="C29" s="3" t="s">
        <v>258</v>
      </c>
      <c r="D29" s="6">
        <f>IF(Table3[[#This Row],[8.3 Attendance in Library per Typical Week]] = "N/A", 0, Table3[[#This Row],[8.3 Attendance in Library per Typical Week]])</f>
        <v>0</v>
      </c>
    </row>
    <row r="30" spans="1:4" ht="15" thickBot="1" x14ac:dyDescent="0.4">
      <c r="A30" s="1" t="s">
        <v>29</v>
      </c>
      <c r="B30" s="3" t="s">
        <v>261</v>
      </c>
      <c r="C30" s="3" t="s">
        <v>258</v>
      </c>
      <c r="D30" s="6">
        <f>IF(Table3[[#This Row],[8.3 Attendance in Library per Typical Week]] = "N/A", 0, Table3[[#This Row],[8.3 Attendance in Library per Typical Week]])</f>
        <v>0</v>
      </c>
    </row>
    <row r="31" spans="1:4" ht="15" thickBot="1" x14ac:dyDescent="0.4">
      <c r="A31" s="1" t="s">
        <v>30</v>
      </c>
      <c r="B31" s="3" t="s">
        <v>261</v>
      </c>
      <c r="C31" s="3" t="s">
        <v>258</v>
      </c>
      <c r="D31" s="6">
        <f>IF(Table3[[#This Row],[8.3 Attendance in Library per Typical Week]] = "N/A", 0, Table3[[#This Row],[8.3 Attendance in Library per Typical Week]])</f>
        <v>0</v>
      </c>
    </row>
    <row r="32" spans="1:4" ht="15" thickBot="1" x14ac:dyDescent="0.4">
      <c r="A32" s="1" t="s">
        <v>31</v>
      </c>
      <c r="B32" s="2">
        <v>668</v>
      </c>
      <c r="C32" s="2">
        <v>34736</v>
      </c>
      <c r="D32" s="6">
        <f>IF(Table3[[#This Row],[8.3 Attendance in Library per Typical Week]] = "N/A", 0, Table3[[#This Row],[8.3 Attendance in Library per Typical Week]])</f>
        <v>668</v>
      </c>
    </row>
    <row r="33" spans="1:4" ht="15" thickBot="1" x14ac:dyDescent="0.4">
      <c r="A33" s="1" t="s">
        <v>32</v>
      </c>
      <c r="B33" s="3" t="s">
        <v>261</v>
      </c>
      <c r="C33" s="2">
        <v>0</v>
      </c>
      <c r="D33" s="6">
        <f>IF(Table3[[#This Row],[8.3 Attendance in Library per Typical Week]] = "N/A", 0, Table3[[#This Row],[8.3 Attendance in Library per Typical Week]])</f>
        <v>0</v>
      </c>
    </row>
    <row r="34" spans="1:4" ht="15" thickBot="1" x14ac:dyDescent="0.4">
      <c r="A34" s="1" t="s">
        <v>33</v>
      </c>
      <c r="B34" s="2">
        <v>10014</v>
      </c>
      <c r="C34" s="2">
        <v>520728</v>
      </c>
      <c r="D34" s="6">
        <f>IF(Table3[[#This Row],[8.3 Attendance in Library per Typical Week]] = "N/A", 0, Table3[[#This Row],[8.3 Attendance in Library per Typical Week]])</f>
        <v>10014</v>
      </c>
    </row>
    <row r="35" spans="1:4" ht="15" thickBot="1" x14ac:dyDescent="0.4">
      <c r="A35" s="1" t="s">
        <v>34</v>
      </c>
      <c r="B35" s="3" t="s">
        <v>261</v>
      </c>
      <c r="C35" s="3" t="s">
        <v>258</v>
      </c>
      <c r="D35" s="6">
        <f>IF(Table3[[#This Row],[8.3 Attendance in Library per Typical Week]] = "N/A", 0, Table3[[#This Row],[8.3 Attendance in Library per Typical Week]])</f>
        <v>0</v>
      </c>
    </row>
    <row r="36" spans="1:4" ht="15" thickBot="1" x14ac:dyDescent="0.4">
      <c r="A36" s="1" t="s">
        <v>35</v>
      </c>
      <c r="B36" s="2">
        <v>861</v>
      </c>
      <c r="C36" s="2">
        <v>44772</v>
      </c>
      <c r="D36" s="6">
        <f>IF(Table3[[#This Row],[8.3 Attendance in Library per Typical Week]] = "N/A", 0, Table3[[#This Row],[8.3 Attendance in Library per Typical Week]])</f>
        <v>861</v>
      </c>
    </row>
    <row r="37" spans="1:4" ht="15" thickBot="1" x14ac:dyDescent="0.4">
      <c r="A37" s="1" t="s">
        <v>36</v>
      </c>
      <c r="B37" s="3" t="s">
        <v>261</v>
      </c>
      <c r="C37" s="3" t="s">
        <v>258</v>
      </c>
      <c r="D37" s="6">
        <f>IF(Table3[[#This Row],[8.3 Attendance in Library per Typical Week]] = "N/A", 0, Table3[[#This Row],[8.3 Attendance in Library per Typical Week]])</f>
        <v>0</v>
      </c>
    </row>
    <row r="38" spans="1:4" ht="15" thickBot="1" x14ac:dyDescent="0.4">
      <c r="A38" s="1" t="s">
        <v>37</v>
      </c>
      <c r="B38" s="3" t="s">
        <v>261</v>
      </c>
      <c r="C38" s="2">
        <v>0</v>
      </c>
      <c r="D38" s="6">
        <f>IF(Table3[[#This Row],[8.3 Attendance in Library per Typical Week]] = "N/A", 0, Table3[[#This Row],[8.3 Attendance in Library per Typical Week]])</f>
        <v>0</v>
      </c>
    </row>
    <row r="39" spans="1:4" ht="15" thickBot="1" x14ac:dyDescent="0.4">
      <c r="A39" s="1" t="s">
        <v>38</v>
      </c>
      <c r="B39" s="3" t="s">
        <v>261</v>
      </c>
      <c r="C39" s="3" t="s">
        <v>258</v>
      </c>
      <c r="D39" s="6">
        <f>IF(Table3[[#This Row],[8.3 Attendance in Library per Typical Week]] = "N/A", 0, Table3[[#This Row],[8.3 Attendance in Library per Typical Week]])</f>
        <v>0</v>
      </c>
    </row>
    <row r="40" spans="1:4" ht="15" thickBot="1" x14ac:dyDescent="0.4">
      <c r="A40" s="1" t="s">
        <v>39</v>
      </c>
      <c r="B40" s="3" t="s">
        <v>261</v>
      </c>
      <c r="C40" s="2">
        <v>0</v>
      </c>
      <c r="D40" s="6">
        <f>IF(Table3[[#This Row],[8.3 Attendance in Library per Typical Week]] = "N/A", 0, Table3[[#This Row],[8.3 Attendance in Library per Typical Week]])</f>
        <v>0</v>
      </c>
    </row>
    <row r="41" spans="1:4" ht="15" thickBot="1" x14ac:dyDescent="0.4">
      <c r="A41" s="1" t="s">
        <v>40</v>
      </c>
      <c r="B41" s="3" t="s">
        <v>261</v>
      </c>
      <c r="C41" s="3" t="s">
        <v>258</v>
      </c>
      <c r="D41" s="6">
        <f>IF(Table3[[#This Row],[8.3 Attendance in Library per Typical Week]] = "N/A", 0, Table3[[#This Row],[8.3 Attendance in Library per Typical Week]])</f>
        <v>0</v>
      </c>
    </row>
    <row r="42" spans="1:4" ht="15" thickBot="1" x14ac:dyDescent="0.4">
      <c r="A42" s="1" t="s">
        <v>41</v>
      </c>
      <c r="B42" s="3" t="s">
        <v>261</v>
      </c>
      <c r="C42" s="3" t="s">
        <v>258</v>
      </c>
      <c r="D42" s="6">
        <f>IF(Table3[[#This Row],[8.3 Attendance in Library per Typical Week]] = "N/A", 0, Table3[[#This Row],[8.3 Attendance in Library per Typical Week]])</f>
        <v>0</v>
      </c>
    </row>
    <row r="43" spans="1:4" ht="15" thickBot="1" x14ac:dyDescent="0.4">
      <c r="A43" s="1" t="s">
        <v>42</v>
      </c>
      <c r="B43" s="3" t="s">
        <v>261</v>
      </c>
      <c r="C43" s="3" t="s">
        <v>258</v>
      </c>
      <c r="D43" s="6">
        <f>IF(Table3[[#This Row],[8.3 Attendance in Library per Typical Week]] = "N/A", 0, Table3[[#This Row],[8.3 Attendance in Library per Typical Week]])</f>
        <v>0</v>
      </c>
    </row>
    <row r="44" spans="1:4" ht="15" thickBot="1" x14ac:dyDescent="0.4">
      <c r="A44" s="1" t="s">
        <v>43</v>
      </c>
      <c r="B44" s="3" t="s">
        <v>261</v>
      </c>
      <c r="C44" s="3" t="s">
        <v>258</v>
      </c>
      <c r="D44" s="6">
        <f>IF(Table3[[#This Row],[8.3 Attendance in Library per Typical Week]] = "N/A", 0, Table3[[#This Row],[8.3 Attendance in Library per Typical Week]])</f>
        <v>0</v>
      </c>
    </row>
    <row r="45" spans="1:4" ht="15" thickBot="1" x14ac:dyDescent="0.4">
      <c r="A45" s="1" t="s">
        <v>44</v>
      </c>
      <c r="B45" s="2">
        <v>1742</v>
      </c>
      <c r="C45" s="2">
        <v>90584</v>
      </c>
      <c r="D45" s="6">
        <f>IF(Table3[[#This Row],[8.3 Attendance in Library per Typical Week]] = "N/A", 0, Table3[[#This Row],[8.3 Attendance in Library per Typical Week]])</f>
        <v>1742</v>
      </c>
    </row>
    <row r="46" spans="1:4" ht="15" thickBot="1" x14ac:dyDescent="0.4">
      <c r="A46" s="1" t="s">
        <v>45</v>
      </c>
      <c r="B46" s="3" t="s">
        <v>261</v>
      </c>
      <c r="C46" s="3" t="s">
        <v>258</v>
      </c>
      <c r="D46" s="6">
        <f>IF(Table3[[#This Row],[8.3 Attendance in Library per Typical Week]] = "N/A", 0, Table3[[#This Row],[8.3 Attendance in Library per Typical Week]])</f>
        <v>0</v>
      </c>
    </row>
    <row r="47" spans="1:4" ht="15" thickBot="1" x14ac:dyDescent="0.4">
      <c r="A47" s="1" t="s">
        <v>46</v>
      </c>
      <c r="B47" s="2">
        <v>2598</v>
      </c>
      <c r="C47" s="2">
        <v>135096</v>
      </c>
      <c r="D47" s="6">
        <f>IF(Table3[[#This Row],[8.3 Attendance in Library per Typical Week]] = "N/A", 0, Table3[[#This Row],[8.3 Attendance in Library per Typical Week]])</f>
        <v>2598</v>
      </c>
    </row>
    <row r="48" spans="1:4" ht="15" thickBot="1" x14ac:dyDescent="0.4">
      <c r="A48" s="1" t="s">
        <v>47</v>
      </c>
      <c r="B48" s="2">
        <v>185</v>
      </c>
      <c r="C48" s="2">
        <v>9620</v>
      </c>
      <c r="D48" s="6">
        <f>IF(Table3[[#This Row],[8.3 Attendance in Library per Typical Week]] = "N/A", 0, Table3[[#This Row],[8.3 Attendance in Library per Typical Week]])</f>
        <v>185</v>
      </c>
    </row>
    <row r="49" spans="1:4" ht="15" thickBot="1" x14ac:dyDescent="0.4">
      <c r="A49" s="1" t="s">
        <v>48</v>
      </c>
      <c r="B49" s="3" t="s">
        <v>261</v>
      </c>
      <c r="C49" s="3" t="s">
        <v>258</v>
      </c>
      <c r="D49" s="6">
        <f>IF(Table3[[#This Row],[8.3 Attendance in Library per Typical Week]] = "N/A", 0, Table3[[#This Row],[8.3 Attendance in Library per Typical Week]])</f>
        <v>0</v>
      </c>
    </row>
    <row r="50" spans="1:4" ht="15" thickBot="1" x14ac:dyDescent="0.4">
      <c r="A50" s="1" t="s">
        <v>49</v>
      </c>
      <c r="B50" s="2">
        <v>4378</v>
      </c>
      <c r="C50" s="2">
        <v>227656</v>
      </c>
      <c r="D50" s="6">
        <f>IF(Table3[[#This Row],[8.3 Attendance in Library per Typical Week]] = "N/A", 0, Table3[[#This Row],[8.3 Attendance in Library per Typical Week]])</f>
        <v>4378</v>
      </c>
    </row>
    <row r="51" spans="1:4" ht="15" thickBot="1" x14ac:dyDescent="0.4">
      <c r="A51" s="1" t="s">
        <v>50</v>
      </c>
      <c r="B51" s="3" t="s">
        <v>261</v>
      </c>
      <c r="C51" s="3" t="s">
        <v>258</v>
      </c>
      <c r="D51" s="6">
        <f>IF(Table3[[#This Row],[8.3 Attendance in Library per Typical Week]] = "N/A", 0, Table3[[#This Row],[8.3 Attendance in Library per Typical Week]])</f>
        <v>0</v>
      </c>
    </row>
    <row r="52" spans="1:4" ht="15" thickBot="1" x14ac:dyDescent="0.4">
      <c r="A52" s="1" t="s">
        <v>51</v>
      </c>
      <c r="B52" s="3" t="s">
        <v>261</v>
      </c>
      <c r="C52" s="3" t="s">
        <v>258</v>
      </c>
      <c r="D52" s="6">
        <f>IF(Table3[[#This Row],[8.3 Attendance in Library per Typical Week]] = "N/A", 0, Table3[[#This Row],[8.3 Attendance in Library per Typical Week]])</f>
        <v>0</v>
      </c>
    </row>
    <row r="53" spans="1:4" ht="15" thickBot="1" x14ac:dyDescent="0.4">
      <c r="A53" s="1" t="s">
        <v>52</v>
      </c>
      <c r="B53" s="3" t="s">
        <v>261</v>
      </c>
      <c r="C53" s="3" t="s">
        <v>258</v>
      </c>
      <c r="D53" s="6">
        <f>IF(Table3[[#This Row],[8.3 Attendance in Library per Typical Week]] = "N/A", 0, Table3[[#This Row],[8.3 Attendance in Library per Typical Week]])</f>
        <v>0</v>
      </c>
    </row>
    <row r="54" spans="1:4" ht="15" thickBot="1" x14ac:dyDescent="0.4">
      <c r="A54" s="1" t="s">
        <v>53</v>
      </c>
      <c r="B54" s="3" t="s">
        <v>261</v>
      </c>
      <c r="C54" s="3" t="s">
        <v>258</v>
      </c>
      <c r="D54" s="6">
        <f>IF(Table3[[#This Row],[8.3 Attendance in Library per Typical Week]] = "N/A", 0, Table3[[#This Row],[8.3 Attendance in Library per Typical Week]])</f>
        <v>0</v>
      </c>
    </row>
    <row r="55" spans="1:4" ht="15" thickBot="1" x14ac:dyDescent="0.4">
      <c r="A55" s="1" t="s">
        <v>54</v>
      </c>
      <c r="B55" s="3" t="s">
        <v>261</v>
      </c>
      <c r="C55" s="3" t="s">
        <v>258</v>
      </c>
      <c r="D55" s="6">
        <f>IF(Table3[[#This Row],[8.3 Attendance in Library per Typical Week]] = "N/A", 0, Table3[[#This Row],[8.3 Attendance in Library per Typical Week]])</f>
        <v>0</v>
      </c>
    </row>
    <row r="56" spans="1:4" ht="15" thickBot="1" x14ac:dyDescent="0.4">
      <c r="A56" s="1" t="s">
        <v>55</v>
      </c>
      <c r="B56" s="3" t="s">
        <v>261</v>
      </c>
      <c r="C56" s="3" t="s">
        <v>258</v>
      </c>
      <c r="D56" s="6">
        <f>IF(Table3[[#This Row],[8.3 Attendance in Library per Typical Week]] = "N/A", 0, Table3[[#This Row],[8.3 Attendance in Library per Typical Week]])</f>
        <v>0</v>
      </c>
    </row>
    <row r="57" spans="1:4" ht="15" thickBot="1" x14ac:dyDescent="0.4">
      <c r="A57" s="1" t="s">
        <v>56</v>
      </c>
      <c r="B57" s="3" t="s">
        <v>261</v>
      </c>
      <c r="C57" s="3" t="s">
        <v>258</v>
      </c>
      <c r="D57" s="6">
        <f>IF(Table3[[#This Row],[8.3 Attendance in Library per Typical Week]] = "N/A", 0, Table3[[#This Row],[8.3 Attendance in Library per Typical Week]])</f>
        <v>0</v>
      </c>
    </row>
    <row r="58" spans="1:4" ht="15" thickBot="1" x14ac:dyDescent="0.4">
      <c r="A58" s="1" t="s">
        <v>57</v>
      </c>
      <c r="B58" s="2">
        <v>520</v>
      </c>
      <c r="C58" s="2">
        <v>27040</v>
      </c>
      <c r="D58" s="6">
        <f>IF(Table3[[#This Row],[8.3 Attendance in Library per Typical Week]] = "N/A", 0, Table3[[#This Row],[8.3 Attendance in Library per Typical Week]])</f>
        <v>520</v>
      </c>
    </row>
    <row r="59" spans="1:4" ht="15" thickBot="1" x14ac:dyDescent="0.4">
      <c r="A59" s="1" t="s">
        <v>58</v>
      </c>
      <c r="B59" s="3" t="s">
        <v>261</v>
      </c>
      <c r="C59" s="3" t="s">
        <v>258</v>
      </c>
      <c r="D59" s="6">
        <f>IF(Table3[[#This Row],[8.3 Attendance in Library per Typical Week]] = "N/A", 0, Table3[[#This Row],[8.3 Attendance in Library per Typical Week]])</f>
        <v>0</v>
      </c>
    </row>
    <row r="60" spans="1:4" ht="15" thickBot="1" x14ac:dyDescent="0.4">
      <c r="A60" s="1" t="s">
        <v>59</v>
      </c>
      <c r="B60" s="3" t="s">
        <v>261</v>
      </c>
      <c r="C60" s="3" t="s">
        <v>258</v>
      </c>
      <c r="D60" s="6">
        <f>IF(Table3[[#This Row],[8.3 Attendance in Library per Typical Week]] = "N/A", 0, Table3[[#This Row],[8.3 Attendance in Library per Typical Week]])</f>
        <v>0</v>
      </c>
    </row>
    <row r="61" spans="1:4" ht="15" thickBot="1" x14ac:dyDescent="0.4">
      <c r="A61" s="1" t="s">
        <v>60</v>
      </c>
      <c r="B61" s="3" t="s">
        <v>261</v>
      </c>
      <c r="C61" s="3" t="s">
        <v>258</v>
      </c>
      <c r="D61" s="6">
        <f>IF(Table3[[#This Row],[8.3 Attendance in Library per Typical Week]] = "N/A", 0, Table3[[#This Row],[8.3 Attendance in Library per Typical Week]])</f>
        <v>0</v>
      </c>
    </row>
    <row r="62" spans="1:4" ht="15" thickBot="1" x14ac:dyDescent="0.4">
      <c r="A62" s="1" t="s">
        <v>61</v>
      </c>
      <c r="B62" s="2">
        <v>607</v>
      </c>
      <c r="C62" s="2">
        <v>31564</v>
      </c>
      <c r="D62" s="6">
        <f>IF(Table3[[#This Row],[8.3 Attendance in Library per Typical Week]] = "N/A", 0, Table3[[#This Row],[8.3 Attendance in Library per Typical Week]])</f>
        <v>607</v>
      </c>
    </row>
    <row r="63" spans="1:4" ht="15" thickBot="1" x14ac:dyDescent="0.4">
      <c r="A63" s="1" t="s">
        <v>62</v>
      </c>
      <c r="B63" s="3" t="s">
        <v>261</v>
      </c>
      <c r="C63" s="2">
        <v>0</v>
      </c>
      <c r="D63" s="6">
        <f>IF(Table3[[#This Row],[8.3 Attendance in Library per Typical Week]] = "N/A", 0, Table3[[#This Row],[8.3 Attendance in Library per Typical Week]])</f>
        <v>0</v>
      </c>
    </row>
    <row r="64" spans="1:4" ht="15" thickBot="1" x14ac:dyDescent="0.4">
      <c r="A64" s="1" t="s">
        <v>63</v>
      </c>
      <c r="B64" s="2">
        <v>605</v>
      </c>
      <c r="C64" s="2">
        <v>31460</v>
      </c>
      <c r="D64" s="6">
        <f>IF(Table3[[#This Row],[8.3 Attendance in Library per Typical Week]] = "N/A", 0, Table3[[#This Row],[8.3 Attendance in Library per Typical Week]])</f>
        <v>605</v>
      </c>
    </row>
    <row r="65" spans="1:4" ht="15" thickBot="1" x14ac:dyDescent="0.4">
      <c r="A65" s="1" t="s">
        <v>64</v>
      </c>
      <c r="B65" s="3" t="s">
        <v>261</v>
      </c>
      <c r="C65" s="2">
        <v>0</v>
      </c>
      <c r="D65" s="6">
        <f>IF(Table3[[#This Row],[8.3 Attendance in Library per Typical Week]] = "N/A", 0, Table3[[#This Row],[8.3 Attendance in Library per Typical Week]])</f>
        <v>0</v>
      </c>
    </row>
    <row r="66" spans="1:4" ht="15" thickBot="1" x14ac:dyDescent="0.4">
      <c r="A66" s="1" t="s">
        <v>65</v>
      </c>
      <c r="B66" s="3" t="s">
        <v>261</v>
      </c>
      <c r="C66" s="3" t="s">
        <v>258</v>
      </c>
      <c r="D66" s="6">
        <f>IF(Table3[[#This Row],[8.3 Attendance in Library per Typical Week]] = "N/A", 0, Table3[[#This Row],[8.3 Attendance in Library per Typical Week]])</f>
        <v>0</v>
      </c>
    </row>
    <row r="67" spans="1:4" ht="15" thickBot="1" x14ac:dyDescent="0.4">
      <c r="A67" s="1" t="s">
        <v>66</v>
      </c>
      <c r="B67" s="2">
        <v>1747</v>
      </c>
      <c r="C67" s="2">
        <v>90844</v>
      </c>
      <c r="D67" s="6">
        <f>IF(Table3[[#This Row],[8.3 Attendance in Library per Typical Week]] = "N/A", 0, Table3[[#This Row],[8.3 Attendance in Library per Typical Week]])</f>
        <v>1747</v>
      </c>
    </row>
    <row r="68" spans="1:4" ht="15" thickBot="1" x14ac:dyDescent="0.4">
      <c r="A68" s="1" t="s">
        <v>67</v>
      </c>
      <c r="B68" s="2">
        <v>24</v>
      </c>
      <c r="C68" s="2">
        <v>1248</v>
      </c>
      <c r="D68" s="6">
        <f>IF(Table3[[#This Row],[8.3 Attendance in Library per Typical Week]] = "N/A", 0, Table3[[#This Row],[8.3 Attendance in Library per Typical Week]])</f>
        <v>24</v>
      </c>
    </row>
    <row r="69" spans="1:4" ht="15" thickBot="1" x14ac:dyDescent="0.4">
      <c r="A69" s="1" t="s">
        <v>68</v>
      </c>
      <c r="B69" s="3" t="s">
        <v>261</v>
      </c>
      <c r="C69" s="3" t="s">
        <v>258</v>
      </c>
      <c r="D69" s="6">
        <f>IF(Table3[[#This Row],[8.3 Attendance in Library per Typical Week]] = "N/A", 0, Table3[[#This Row],[8.3 Attendance in Library per Typical Week]])</f>
        <v>0</v>
      </c>
    </row>
    <row r="70" spans="1:4" ht="15" thickBot="1" x14ac:dyDescent="0.4">
      <c r="A70" s="1" t="s">
        <v>69</v>
      </c>
      <c r="B70" s="2">
        <v>2465</v>
      </c>
      <c r="C70" s="2">
        <v>128180</v>
      </c>
      <c r="D70" s="6">
        <f>IF(Table3[[#This Row],[8.3 Attendance in Library per Typical Week]] = "N/A", 0, Table3[[#This Row],[8.3 Attendance in Library per Typical Week]])</f>
        <v>2465</v>
      </c>
    </row>
    <row r="71" spans="1:4" ht="15" thickBot="1" x14ac:dyDescent="0.4">
      <c r="A71" s="1" t="s">
        <v>70</v>
      </c>
      <c r="B71" s="2">
        <v>382</v>
      </c>
      <c r="C71" s="2">
        <v>19864</v>
      </c>
      <c r="D71" s="6">
        <f>IF(Table3[[#This Row],[8.3 Attendance in Library per Typical Week]] = "N/A", 0, Table3[[#This Row],[8.3 Attendance in Library per Typical Week]])</f>
        <v>382</v>
      </c>
    </row>
    <row r="72" spans="1:4" ht="15" thickBot="1" x14ac:dyDescent="0.4">
      <c r="A72" s="1" t="s">
        <v>71</v>
      </c>
      <c r="B72" s="3" t="s">
        <v>261</v>
      </c>
      <c r="C72" s="3" t="s">
        <v>258</v>
      </c>
      <c r="D72" s="6">
        <f>IF(Table3[[#This Row],[8.3 Attendance in Library per Typical Week]] = "N/A", 0, Table3[[#This Row],[8.3 Attendance in Library per Typical Week]])</f>
        <v>0</v>
      </c>
    </row>
    <row r="73" spans="1:4" ht="15" thickBot="1" x14ac:dyDescent="0.4">
      <c r="A73" s="1" t="s">
        <v>72</v>
      </c>
      <c r="B73" s="2">
        <v>1948</v>
      </c>
      <c r="C73" s="2">
        <v>101296</v>
      </c>
      <c r="D73" s="6">
        <f>IF(Table3[[#This Row],[8.3 Attendance in Library per Typical Week]] = "N/A", 0, Table3[[#This Row],[8.3 Attendance in Library per Typical Week]])</f>
        <v>1948</v>
      </c>
    </row>
    <row r="74" spans="1:4" ht="15" thickBot="1" x14ac:dyDescent="0.4">
      <c r="A74" s="1" t="s">
        <v>73</v>
      </c>
      <c r="B74" s="3" t="s">
        <v>261</v>
      </c>
      <c r="C74" s="3" t="s">
        <v>258</v>
      </c>
      <c r="D74" s="6">
        <f>IF(Table3[[#This Row],[8.3 Attendance in Library per Typical Week]] = "N/A", 0, Table3[[#This Row],[8.3 Attendance in Library per Typical Week]])</f>
        <v>0</v>
      </c>
    </row>
    <row r="75" spans="1:4" ht="15" thickBot="1" x14ac:dyDescent="0.4">
      <c r="A75" s="1" t="s">
        <v>74</v>
      </c>
      <c r="B75" s="3" t="s">
        <v>261</v>
      </c>
      <c r="C75" s="3" t="s">
        <v>258</v>
      </c>
      <c r="D75" s="6">
        <f>IF(Table3[[#This Row],[8.3 Attendance in Library per Typical Week]] = "N/A", 0, Table3[[#This Row],[8.3 Attendance in Library per Typical Week]])</f>
        <v>0</v>
      </c>
    </row>
    <row r="76" spans="1:4" ht="15" thickBot="1" x14ac:dyDescent="0.4">
      <c r="A76" s="1" t="s">
        <v>75</v>
      </c>
      <c r="B76" s="3" t="s">
        <v>261</v>
      </c>
      <c r="C76" s="3" t="s">
        <v>258</v>
      </c>
      <c r="D76" s="6">
        <f>IF(Table3[[#This Row],[8.3 Attendance in Library per Typical Week]] = "N/A", 0, Table3[[#This Row],[8.3 Attendance in Library per Typical Week]])</f>
        <v>0</v>
      </c>
    </row>
    <row r="77" spans="1:4" ht="15" thickBot="1" x14ac:dyDescent="0.4">
      <c r="A77" s="1" t="s">
        <v>76</v>
      </c>
      <c r="B77" s="2">
        <v>2905</v>
      </c>
      <c r="C77" s="2">
        <v>151060</v>
      </c>
      <c r="D77" s="6">
        <f>IF(Table3[[#This Row],[8.3 Attendance in Library per Typical Week]] = "N/A", 0, Table3[[#This Row],[8.3 Attendance in Library per Typical Week]])</f>
        <v>2905</v>
      </c>
    </row>
    <row r="78" spans="1:4" ht="15" thickBot="1" x14ac:dyDescent="0.4">
      <c r="A78" s="1" t="s">
        <v>77</v>
      </c>
      <c r="B78" s="3" t="s">
        <v>261</v>
      </c>
      <c r="C78" s="3" t="s">
        <v>258</v>
      </c>
      <c r="D78" s="6">
        <f>IF(Table3[[#This Row],[8.3 Attendance in Library per Typical Week]] = "N/A", 0, Table3[[#This Row],[8.3 Attendance in Library per Typical Week]])</f>
        <v>0</v>
      </c>
    </row>
    <row r="79" spans="1:4" ht="15" thickBot="1" x14ac:dyDescent="0.4">
      <c r="A79" s="1" t="s">
        <v>78</v>
      </c>
      <c r="B79" s="3" t="s">
        <v>261</v>
      </c>
      <c r="C79" s="3" t="s">
        <v>258</v>
      </c>
      <c r="D79" s="6">
        <f>IF(Table3[[#This Row],[8.3 Attendance in Library per Typical Week]] = "N/A", 0, Table3[[#This Row],[8.3 Attendance in Library per Typical Week]])</f>
        <v>0</v>
      </c>
    </row>
    <row r="80" spans="1:4" ht="15" thickBot="1" x14ac:dyDescent="0.4">
      <c r="A80" s="1" t="s">
        <v>79</v>
      </c>
      <c r="B80" s="3" t="s">
        <v>261</v>
      </c>
      <c r="C80" s="3" t="s">
        <v>258</v>
      </c>
      <c r="D80" s="6">
        <f>IF(Table3[[#This Row],[8.3 Attendance in Library per Typical Week]] = "N/A", 0, Table3[[#This Row],[8.3 Attendance in Library per Typical Week]])</f>
        <v>0</v>
      </c>
    </row>
    <row r="81" spans="1:4" ht="15" thickBot="1" x14ac:dyDescent="0.4">
      <c r="A81" s="1" t="s">
        <v>80</v>
      </c>
      <c r="B81" s="3" t="s">
        <v>261</v>
      </c>
      <c r="C81" s="3" t="s">
        <v>258</v>
      </c>
      <c r="D81" s="6">
        <f>IF(Table3[[#This Row],[8.3 Attendance in Library per Typical Week]] = "N/A", 0, Table3[[#This Row],[8.3 Attendance in Library per Typical Week]])</f>
        <v>0</v>
      </c>
    </row>
    <row r="82" spans="1:4" ht="15" thickBot="1" x14ac:dyDescent="0.4">
      <c r="A82" s="1" t="s">
        <v>81</v>
      </c>
      <c r="B82" s="2">
        <v>150</v>
      </c>
      <c r="C82" s="2">
        <v>7800</v>
      </c>
      <c r="D82" s="6">
        <f>IF(Table3[[#This Row],[8.3 Attendance in Library per Typical Week]] = "N/A", 0, Table3[[#This Row],[8.3 Attendance in Library per Typical Week]])</f>
        <v>150</v>
      </c>
    </row>
    <row r="83" spans="1:4" ht="15" thickBot="1" x14ac:dyDescent="0.4">
      <c r="A83" s="1" t="s">
        <v>82</v>
      </c>
      <c r="B83" s="3" t="s">
        <v>261</v>
      </c>
      <c r="C83" s="3" t="s">
        <v>258</v>
      </c>
      <c r="D83" s="6">
        <f>IF(Table3[[#This Row],[8.3 Attendance in Library per Typical Week]] = "N/A", 0, Table3[[#This Row],[8.3 Attendance in Library per Typical Week]])</f>
        <v>0</v>
      </c>
    </row>
    <row r="84" spans="1:4" ht="15" thickBot="1" x14ac:dyDescent="0.4">
      <c r="A84" s="1" t="s">
        <v>83</v>
      </c>
      <c r="B84" s="3" t="s">
        <v>261</v>
      </c>
      <c r="C84" s="3" t="s">
        <v>258</v>
      </c>
      <c r="D84" s="6">
        <f>IF(Table3[[#This Row],[8.3 Attendance in Library per Typical Week]] = "N/A", 0, Table3[[#This Row],[8.3 Attendance in Library per Typical Week]])</f>
        <v>0</v>
      </c>
    </row>
    <row r="85" spans="1:4" ht="15" thickBot="1" x14ac:dyDescent="0.4">
      <c r="A85" s="1" t="s">
        <v>84</v>
      </c>
      <c r="B85" s="3" t="s">
        <v>261</v>
      </c>
      <c r="C85" s="3" t="s">
        <v>258</v>
      </c>
      <c r="D85" s="6">
        <f>IF(Table3[[#This Row],[8.3 Attendance in Library per Typical Week]] = "N/A", 0, Table3[[#This Row],[8.3 Attendance in Library per Typical Week]])</f>
        <v>0</v>
      </c>
    </row>
    <row r="86" spans="1:4" ht="15" thickBot="1" x14ac:dyDescent="0.4">
      <c r="A86" s="1" t="s">
        <v>85</v>
      </c>
      <c r="B86" s="3" t="s">
        <v>261</v>
      </c>
      <c r="C86" s="3" t="s">
        <v>258</v>
      </c>
      <c r="D86" s="6">
        <f>IF(Table3[[#This Row],[8.3 Attendance in Library per Typical Week]] = "N/A", 0, Table3[[#This Row],[8.3 Attendance in Library per Typical Week]])</f>
        <v>0</v>
      </c>
    </row>
    <row r="87" spans="1:4" ht="15" thickBot="1" x14ac:dyDescent="0.4">
      <c r="A87" s="1" t="s">
        <v>86</v>
      </c>
      <c r="B87" s="3" t="s">
        <v>261</v>
      </c>
      <c r="C87" s="3" t="s">
        <v>258</v>
      </c>
      <c r="D87" s="6">
        <f>IF(Table3[[#This Row],[8.3 Attendance in Library per Typical Week]] = "N/A", 0, Table3[[#This Row],[8.3 Attendance in Library per Typical Week]])</f>
        <v>0</v>
      </c>
    </row>
    <row r="88" spans="1:4" ht="15" thickBot="1" x14ac:dyDescent="0.4">
      <c r="A88" s="1" t="s">
        <v>87</v>
      </c>
      <c r="B88" s="3" t="s">
        <v>261</v>
      </c>
      <c r="C88" s="2">
        <v>0</v>
      </c>
      <c r="D88" s="6">
        <f>IF(Table3[[#This Row],[8.3 Attendance in Library per Typical Week]] = "N/A", 0, Table3[[#This Row],[8.3 Attendance in Library per Typical Week]])</f>
        <v>0</v>
      </c>
    </row>
    <row r="89" spans="1:4" ht="15" thickBot="1" x14ac:dyDescent="0.4">
      <c r="A89" s="1" t="s">
        <v>88</v>
      </c>
      <c r="B89" s="3" t="s">
        <v>261</v>
      </c>
      <c r="C89" s="3" t="s">
        <v>258</v>
      </c>
      <c r="D89" s="6">
        <f>IF(Table3[[#This Row],[8.3 Attendance in Library per Typical Week]] = "N/A", 0, Table3[[#This Row],[8.3 Attendance in Library per Typical Week]])</f>
        <v>0</v>
      </c>
    </row>
    <row r="90" spans="1:4" ht="15" thickBot="1" x14ac:dyDescent="0.4">
      <c r="A90" s="1" t="s">
        <v>89</v>
      </c>
      <c r="B90" s="3" t="s">
        <v>261</v>
      </c>
      <c r="C90" s="3" t="s">
        <v>258</v>
      </c>
      <c r="D90" s="6">
        <f>IF(Table3[[#This Row],[8.3 Attendance in Library per Typical Week]] = "N/A", 0, Table3[[#This Row],[8.3 Attendance in Library per Typical Week]])</f>
        <v>0</v>
      </c>
    </row>
    <row r="91" spans="1:4" ht="15" thickBot="1" x14ac:dyDescent="0.4">
      <c r="A91" s="1" t="s">
        <v>90</v>
      </c>
      <c r="B91" s="3" t="s">
        <v>261</v>
      </c>
      <c r="C91" s="3" t="s">
        <v>258</v>
      </c>
      <c r="D91" s="6">
        <f>IF(Table3[[#This Row],[8.3 Attendance in Library per Typical Week]] = "N/A", 0, Table3[[#This Row],[8.3 Attendance in Library per Typical Week]])</f>
        <v>0</v>
      </c>
    </row>
    <row r="92" spans="1:4" ht="15" thickBot="1" x14ac:dyDescent="0.4">
      <c r="A92" s="1" t="s">
        <v>91</v>
      </c>
      <c r="B92" s="2">
        <v>550</v>
      </c>
      <c r="C92" s="2">
        <v>28600</v>
      </c>
      <c r="D92" s="6">
        <f>IF(Table3[[#This Row],[8.3 Attendance in Library per Typical Week]] = "N/A", 0, Table3[[#This Row],[8.3 Attendance in Library per Typical Week]])</f>
        <v>550</v>
      </c>
    </row>
    <row r="93" spans="1:4" ht="15" thickBot="1" x14ac:dyDescent="0.4">
      <c r="A93" s="1" t="s">
        <v>92</v>
      </c>
      <c r="B93" s="3" t="s">
        <v>261</v>
      </c>
      <c r="C93" s="3" t="s">
        <v>258</v>
      </c>
      <c r="D93" s="6">
        <f>IF(Table3[[#This Row],[8.3 Attendance in Library per Typical Week]] = "N/A", 0, Table3[[#This Row],[8.3 Attendance in Library per Typical Week]])</f>
        <v>0</v>
      </c>
    </row>
    <row r="94" spans="1:4" ht="15" thickBot="1" x14ac:dyDescent="0.4">
      <c r="A94" s="1" t="s">
        <v>93</v>
      </c>
      <c r="B94" s="3" t="s">
        <v>261</v>
      </c>
      <c r="C94" s="3" t="s">
        <v>258</v>
      </c>
      <c r="D94" s="6">
        <f>IF(Table3[[#This Row],[8.3 Attendance in Library per Typical Week]] = "N/A", 0, Table3[[#This Row],[8.3 Attendance in Library per Typical Week]])</f>
        <v>0</v>
      </c>
    </row>
    <row r="95" spans="1:4" ht="15" thickBot="1" x14ac:dyDescent="0.4">
      <c r="A95" s="1" t="s">
        <v>94</v>
      </c>
      <c r="B95" s="3" t="s">
        <v>261</v>
      </c>
      <c r="C95" s="3" t="s">
        <v>258</v>
      </c>
      <c r="D95" s="6">
        <f>IF(Table3[[#This Row],[8.3 Attendance in Library per Typical Week]] = "N/A", 0, Table3[[#This Row],[8.3 Attendance in Library per Typical Week]])</f>
        <v>0</v>
      </c>
    </row>
    <row r="96" spans="1:4" ht="15" thickBot="1" x14ac:dyDescent="0.4">
      <c r="A96" s="1" t="s">
        <v>95</v>
      </c>
      <c r="B96" s="3" t="s">
        <v>261</v>
      </c>
      <c r="C96" s="3" t="s">
        <v>258</v>
      </c>
      <c r="D96" s="6">
        <f>IF(Table3[[#This Row],[8.3 Attendance in Library per Typical Week]] = "N/A", 0, Table3[[#This Row],[8.3 Attendance in Library per Typical Week]])</f>
        <v>0</v>
      </c>
    </row>
    <row r="97" spans="1:4" ht="15" thickBot="1" x14ac:dyDescent="0.4">
      <c r="A97" s="1" t="s">
        <v>96</v>
      </c>
      <c r="B97" s="3" t="s">
        <v>261</v>
      </c>
      <c r="C97" s="3" t="s">
        <v>258</v>
      </c>
      <c r="D97" s="6">
        <f>IF(Table3[[#This Row],[8.3 Attendance in Library per Typical Week]] = "N/A", 0, Table3[[#This Row],[8.3 Attendance in Library per Typical Week]])</f>
        <v>0</v>
      </c>
    </row>
    <row r="98" spans="1:4" ht="15" thickBot="1" x14ac:dyDescent="0.4">
      <c r="A98" s="1" t="s">
        <v>97</v>
      </c>
      <c r="B98" s="3" t="s">
        <v>261</v>
      </c>
      <c r="C98" s="3" t="s">
        <v>258</v>
      </c>
      <c r="D98" s="6">
        <f>IF(Table3[[#This Row],[8.3 Attendance in Library per Typical Week]] = "N/A", 0, Table3[[#This Row],[8.3 Attendance in Library per Typical Week]])</f>
        <v>0</v>
      </c>
    </row>
    <row r="99" spans="1:4" ht="15" thickBot="1" x14ac:dyDescent="0.4">
      <c r="A99" s="1" t="s">
        <v>98</v>
      </c>
      <c r="B99" s="3" t="s">
        <v>261</v>
      </c>
      <c r="C99" s="3" t="s">
        <v>258</v>
      </c>
      <c r="D99" s="6">
        <f>IF(Table3[[#This Row],[8.3 Attendance in Library per Typical Week]] = "N/A", 0, Table3[[#This Row],[8.3 Attendance in Library per Typical Week]])</f>
        <v>0</v>
      </c>
    </row>
    <row r="100" spans="1:4" ht="15" thickBot="1" x14ac:dyDescent="0.4">
      <c r="A100" s="1" t="s">
        <v>99</v>
      </c>
      <c r="B100" s="3" t="s">
        <v>261</v>
      </c>
      <c r="C100" s="2">
        <v>0</v>
      </c>
      <c r="D100" s="6">
        <f>IF(Table3[[#This Row],[8.3 Attendance in Library per Typical Week]] = "N/A", 0, Table3[[#This Row],[8.3 Attendance in Library per Typical Week]])</f>
        <v>0</v>
      </c>
    </row>
    <row r="101" spans="1:4" ht="15" thickBot="1" x14ac:dyDescent="0.4">
      <c r="A101" s="1" t="s">
        <v>100</v>
      </c>
      <c r="B101" s="2">
        <v>100</v>
      </c>
      <c r="C101" s="2">
        <v>5200</v>
      </c>
      <c r="D101" s="6">
        <f>IF(Table3[[#This Row],[8.3 Attendance in Library per Typical Week]] = "N/A", 0, Table3[[#This Row],[8.3 Attendance in Library per Typical Week]])</f>
        <v>100</v>
      </c>
    </row>
    <row r="102" spans="1:4" ht="15" thickBot="1" x14ac:dyDescent="0.4">
      <c r="A102" s="1" t="s">
        <v>101</v>
      </c>
      <c r="B102" s="3" t="s">
        <v>261</v>
      </c>
      <c r="C102" s="3" t="s">
        <v>258</v>
      </c>
      <c r="D102" s="6">
        <f>IF(Table3[[#This Row],[8.3 Attendance in Library per Typical Week]] = "N/A", 0, Table3[[#This Row],[8.3 Attendance in Library per Typical Week]])</f>
        <v>0</v>
      </c>
    </row>
    <row r="103" spans="1:4" ht="15" thickBot="1" x14ac:dyDescent="0.4">
      <c r="A103" s="1" t="s">
        <v>102</v>
      </c>
      <c r="B103" s="3" t="s">
        <v>261</v>
      </c>
      <c r="C103" s="3" t="s">
        <v>258</v>
      </c>
      <c r="D103" s="6">
        <f>IF(Table3[[#This Row],[8.3 Attendance in Library per Typical Week]] = "N/A", 0, Table3[[#This Row],[8.3 Attendance in Library per Typical Week]])</f>
        <v>0</v>
      </c>
    </row>
    <row r="104" spans="1:4" ht="15" thickBot="1" x14ac:dyDescent="0.4">
      <c r="A104" s="1" t="s">
        <v>103</v>
      </c>
      <c r="B104" s="2">
        <v>492</v>
      </c>
      <c r="C104" s="2">
        <v>25584</v>
      </c>
      <c r="D104" s="6">
        <f>IF(Table3[[#This Row],[8.3 Attendance in Library per Typical Week]] = "N/A", 0, Table3[[#This Row],[8.3 Attendance in Library per Typical Week]])</f>
        <v>492</v>
      </c>
    </row>
    <row r="105" spans="1:4" ht="15" thickBot="1" x14ac:dyDescent="0.4">
      <c r="A105" s="1" t="s">
        <v>104</v>
      </c>
      <c r="B105" s="2">
        <v>6087</v>
      </c>
      <c r="C105" s="2">
        <v>316524</v>
      </c>
      <c r="D105" s="6">
        <f>IF(Table3[[#This Row],[8.3 Attendance in Library per Typical Week]] = "N/A", 0, Table3[[#This Row],[8.3 Attendance in Library per Typical Week]])</f>
        <v>6087</v>
      </c>
    </row>
    <row r="106" spans="1:4" ht="15" thickBot="1" x14ac:dyDescent="0.4">
      <c r="A106" s="1" t="s">
        <v>105</v>
      </c>
      <c r="B106" s="2">
        <v>1401</v>
      </c>
      <c r="C106" s="2">
        <v>72852</v>
      </c>
      <c r="D106" s="6">
        <f>IF(Table3[[#This Row],[8.3 Attendance in Library per Typical Week]] = "N/A", 0, Table3[[#This Row],[8.3 Attendance in Library per Typical Week]])</f>
        <v>1401</v>
      </c>
    </row>
    <row r="107" spans="1:4" ht="15" thickBot="1" x14ac:dyDescent="0.4">
      <c r="A107" s="1" t="s">
        <v>106</v>
      </c>
      <c r="B107" s="2">
        <v>1208</v>
      </c>
      <c r="C107" s="2">
        <v>62816</v>
      </c>
      <c r="D107" s="6">
        <f>IF(Table3[[#This Row],[8.3 Attendance in Library per Typical Week]] = "N/A", 0, Table3[[#This Row],[8.3 Attendance in Library per Typical Week]])</f>
        <v>1208</v>
      </c>
    </row>
    <row r="108" spans="1:4" ht="15" thickBot="1" x14ac:dyDescent="0.4">
      <c r="A108" s="1" t="s">
        <v>107</v>
      </c>
      <c r="B108" s="3" t="s">
        <v>261</v>
      </c>
      <c r="C108" s="3" t="s">
        <v>258</v>
      </c>
      <c r="D108" s="6">
        <f>IF(Table3[[#This Row],[8.3 Attendance in Library per Typical Week]] = "N/A", 0, Table3[[#This Row],[8.3 Attendance in Library per Typical Week]])</f>
        <v>0</v>
      </c>
    </row>
    <row r="109" spans="1:4" ht="15" thickBot="1" x14ac:dyDescent="0.4">
      <c r="A109" s="1" t="s">
        <v>108</v>
      </c>
      <c r="B109" s="3" t="s">
        <v>261</v>
      </c>
      <c r="C109" s="3" t="s">
        <v>258</v>
      </c>
      <c r="D109" s="6">
        <f>IF(Table3[[#This Row],[8.3 Attendance in Library per Typical Week]] = "N/A", 0, Table3[[#This Row],[8.3 Attendance in Library per Typical Week]])</f>
        <v>0</v>
      </c>
    </row>
    <row r="110" spans="1:4" ht="15" thickBot="1" x14ac:dyDescent="0.4">
      <c r="A110" s="1" t="s">
        <v>109</v>
      </c>
      <c r="B110" s="2">
        <v>226</v>
      </c>
      <c r="C110" s="2">
        <v>11752</v>
      </c>
      <c r="D110" s="6">
        <f>IF(Table3[[#This Row],[8.3 Attendance in Library per Typical Week]] = "N/A", 0, Table3[[#This Row],[8.3 Attendance in Library per Typical Week]])</f>
        <v>226</v>
      </c>
    </row>
    <row r="111" spans="1:4" ht="15" thickBot="1" x14ac:dyDescent="0.4">
      <c r="A111" s="1" t="s">
        <v>110</v>
      </c>
      <c r="B111" s="2">
        <v>300</v>
      </c>
      <c r="C111" s="2">
        <v>15600</v>
      </c>
      <c r="D111" s="6">
        <f>IF(Table3[[#This Row],[8.3 Attendance in Library per Typical Week]] = "N/A", 0, Table3[[#This Row],[8.3 Attendance in Library per Typical Week]])</f>
        <v>300</v>
      </c>
    </row>
    <row r="112" spans="1:4" ht="15" thickBot="1" x14ac:dyDescent="0.4">
      <c r="A112" s="1" t="s">
        <v>111</v>
      </c>
      <c r="B112" s="3" t="s">
        <v>261</v>
      </c>
      <c r="C112" s="3" t="s">
        <v>258</v>
      </c>
      <c r="D112" s="6">
        <f>IF(Table3[[#This Row],[8.3 Attendance in Library per Typical Week]] = "N/A", 0, Table3[[#This Row],[8.3 Attendance in Library per Typical Week]])</f>
        <v>0</v>
      </c>
    </row>
    <row r="113" spans="1:4" ht="15" thickBot="1" x14ac:dyDescent="0.4">
      <c r="A113" s="1" t="s">
        <v>112</v>
      </c>
      <c r="B113" s="3" t="s">
        <v>261</v>
      </c>
      <c r="C113" s="3" t="s">
        <v>258</v>
      </c>
      <c r="D113" s="6">
        <f>IF(Table3[[#This Row],[8.3 Attendance in Library per Typical Week]] = "N/A", 0, Table3[[#This Row],[8.3 Attendance in Library per Typical Week]])</f>
        <v>0</v>
      </c>
    </row>
    <row r="114" spans="1:4" ht="15" thickBot="1" x14ac:dyDescent="0.4">
      <c r="A114" s="1" t="s">
        <v>113</v>
      </c>
      <c r="B114" s="2">
        <v>2057</v>
      </c>
      <c r="C114" s="2">
        <v>106964</v>
      </c>
      <c r="D114" s="6">
        <f>IF(Table3[[#This Row],[8.3 Attendance in Library per Typical Week]] = "N/A", 0, Table3[[#This Row],[8.3 Attendance in Library per Typical Week]])</f>
        <v>2057</v>
      </c>
    </row>
    <row r="115" spans="1:4" ht="15" thickBot="1" x14ac:dyDescent="0.4">
      <c r="A115" s="1" t="s">
        <v>114</v>
      </c>
      <c r="B115" s="3" t="s">
        <v>261</v>
      </c>
      <c r="C115" s="3" t="s">
        <v>258</v>
      </c>
      <c r="D115" s="6">
        <f>IF(Table3[[#This Row],[8.3 Attendance in Library per Typical Week]] = "N/A", 0, Table3[[#This Row],[8.3 Attendance in Library per Typical Week]])</f>
        <v>0</v>
      </c>
    </row>
    <row r="116" spans="1:4" ht="15" thickBot="1" x14ac:dyDescent="0.4">
      <c r="A116" s="1" t="s">
        <v>115</v>
      </c>
      <c r="B116" s="3" t="s">
        <v>261</v>
      </c>
      <c r="C116" s="3" t="s">
        <v>258</v>
      </c>
      <c r="D116" s="6">
        <f>IF(Table3[[#This Row],[8.3 Attendance in Library per Typical Week]] = "N/A", 0, Table3[[#This Row],[8.3 Attendance in Library per Typical Week]])</f>
        <v>0</v>
      </c>
    </row>
    <row r="117" spans="1:4" ht="15" thickBot="1" x14ac:dyDescent="0.4">
      <c r="A117" s="1" t="s">
        <v>116</v>
      </c>
      <c r="B117" s="3" t="s">
        <v>261</v>
      </c>
      <c r="C117" s="2">
        <v>0</v>
      </c>
      <c r="D117" s="6">
        <f>IF(Table3[[#This Row],[8.3 Attendance in Library per Typical Week]] = "N/A", 0, Table3[[#This Row],[8.3 Attendance in Library per Typical Week]])</f>
        <v>0</v>
      </c>
    </row>
    <row r="118" spans="1:4" ht="15" thickBot="1" x14ac:dyDescent="0.4">
      <c r="A118" s="1" t="s">
        <v>117</v>
      </c>
      <c r="B118" s="3" t="s">
        <v>261</v>
      </c>
      <c r="C118" s="3" t="s">
        <v>258</v>
      </c>
      <c r="D118" s="6">
        <f>IF(Table3[[#This Row],[8.3 Attendance in Library per Typical Week]] = "N/A", 0, Table3[[#This Row],[8.3 Attendance in Library per Typical Week]])</f>
        <v>0</v>
      </c>
    </row>
    <row r="119" spans="1:4" ht="15" thickBot="1" x14ac:dyDescent="0.4">
      <c r="A119" s="1" t="s">
        <v>118</v>
      </c>
      <c r="B119" s="3" t="s">
        <v>261</v>
      </c>
      <c r="C119" s="3" t="s">
        <v>258</v>
      </c>
      <c r="D119" s="6">
        <f>IF(Table3[[#This Row],[8.3 Attendance in Library per Typical Week]] = "N/A", 0, Table3[[#This Row],[8.3 Attendance in Library per Typical Week]])</f>
        <v>0</v>
      </c>
    </row>
    <row r="120" spans="1:4" ht="15" thickBot="1" x14ac:dyDescent="0.4">
      <c r="A120" s="1" t="s">
        <v>119</v>
      </c>
      <c r="B120" s="3" t="s">
        <v>261</v>
      </c>
      <c r="C120" s="3" t="s">
        <v>258</v>
      </c>
      <c r="D120" s="6">
        <f>IF(Table3[[#This Row],[8.3 Attendance in Library per Typical Week]] = "N/A", 0, Table3[[#This Row],[8.3 Attendance in Library per Typical Week]])</f>
        <v>0</v>
      </c>
    </row>
    <row r="121" spans="1:4" ht="15" thickBot="1" x14ac:dyDescent="0.4">
      <c r="A121" s="1" t="s">
        <v>120</v>
      </c>
      <c r="B121" s="3" t="s">
        <v>261</v>
      </c>
      <c r="C121" s="3" t="s">
        <v>258</v>
      </c>
      <c r="D121" s="6">
        <f>IF(Table3[[#This Row],[8.3 Attendance in Library per Typical Week]] = "N/A", 0, Table3[[#This Row],[8.3 Attendance in Library per Typical Week]])</f>
        <v>0</v>
      </c>
    </row>
    <row r="122" spans="1:4" ht="15" thickBot="1" x14ac:dyDescent="0.4">
      <c r="A122" s="1" t="s">
        <v>121</v>
      </c>
      <c r="B122" s="2">
        <v>385</v>
      </c>
      <c r="C122" s="2">
        <v>20020</v>
      </c>
      <c r="D122" s="6">
        <f>IF(Table3[[#This Row],[8.3 Attendance in Library per Typical Week]] = "N/A", 0, Table3[[#This Row],[8.3 Attendance in Library per Typical Week]])</f>
        <v>385</v>
      </c>
    </row>
    <row r="123" spans="1:4" ht="15" thickBot="1" x14ac:dyDescent="0.4">
      <c r="A123" s="1" t="s">
        <v>122</v>
      </c>
      <c r="B123" s="2">
        <v>757</v>
      </c>
      <c r="C123" s="2">
        <v>39364</v>
      </c>
      <c r="D123" s="6">
        <f>IF(Table3[[#This Row],[8.3 Attendance in Library per Typical Week]] = "N/A", 0, Table3[[#This Row],[8.3 Attendance in Library per Typical Week]])</f>
        <v>757</v>
      </c>
    </row>
    <row r="124" spans="1:4" ht="15" thickBot="1" x14ac:dyDescent="0.4">
      <c r="A124" s="1" t="s">
        <v>123</v>
      </c>
      <c r="B124" s="3" t="s">
        <v>261</v>
      </c>
      <c r="C124" s="3" t="s">
        <v>258</v>
      </c>
      <c r="D124" s="6">
        <f>IF(Table3[[#This Row],[8.3 Attendance in Library per Typical Week]] = "N/A", 0, Table3[[#This Row],[8.3 Attendance in Library per Typical Week]])</f>
        <v>0</v>
      </c>
    </row>
    <row r="125" spans="1:4" ht="15" thickBot="1" x14ac:dyDescent="0.4">
      <c r="A125" s="1" t="s">
        <v>124</v>
      </c>
      <c r="B125" s="3" t="s">
        <v>261</v>
      </c>
      <c r="C125" s="3" t="s">
        <v>258</v>
      </c>
      <c r="D125" s="6">
        <f>IF(Table3[[#This Row],[8.3 Attendance in Library per Typical Week]] = "N/A", 0, Table3[[#This Row],[8.3 Attendance in Library per Typical Week]])</f>
        <v>0</v>
      </c>
    </row>
    <row r="126" spans="1:4" ht="15" thickBot="1" x14ac:dyDescent="0.4">
      <c r="A126" s="1" t="s">
        <v>125</v>
      </c>
      <c r="B126" s="3" t="s">
        <v>261</v>
      </c>
      <c r="C126" s="3" t="s">
        <v>258</v>
      </c>
      <c r="D126" s="6">
        <f>IF(Table3[[#This Row],[8.3 Attendance in Library per Typical Week]] = "N/A", 0, Table3[[#This Row],[8.3 Attendance in Library per Typical Week]])</f>
        <v>0</v>
      </c>
    </row>
    <row r="127" spans="1:4" ht="15" thickBot="1" x14ac:dyDescent="0.4">
      <c r="A127" s="1" t="s">
        <v>126</v>
      </c>
      <c r="B127" s="3" t="s">
        <v>261</v>
      </c>
      <c r="C127" s="3" t="s">
        <v>258</v>
      </c>
      <c r="D127" s="6">
        <f>IF(Table3[[#This Row],[8.3 Attendance in Library per Typical Week]] = "N/A", 0, Table3[[#This Row],[8.3 Attendance in Library per Typical Week]])</f>
        <v>0</v>
      </c>
    </row>
    <row r="128" spans="1:4" ht="15" thickBot="1" x14ac:dyDescent="0.4">
      <c r="A128" s="1" t="s">
        <v>127</v>
      </c>
      <c r="B128" s="3" t="s">
        <v>261</v>
      </c>
      <c r="C128" s="3" t="s">
        <v>258</v>
      </c>
      <c r="D128" s="6">
        <f>IF(Table3[[#This Row],[8.3 Attendance in Library per Typical Week]] = "N/A", 0, Table3[[#This Row],[8.3 Attendance in Library per Typical Week]])</f>
        <v>0</v>
      </c>
    </row>
    <row r="129" spans="1:4" ht="15" thickBot="1" x14ac:dyDescent="0.4">
      <c r="A129" s="1" t="s">
        <v>128</v>
      </c>
      <c r="B129" s="3" t="s">
        <v>261</v>
      </c>
      <c r="C129" s="3" t="s">
        <v>258</v>
      </c>
      <c r="D129" s="6">
        <f>IF(Table3[[#This Row],[8.3 Attendance in Library per Typical Week]] = "N/A", 0, Table3[[#This Row],[8.3 Attendance in Library per Typical Week]])</f>
        <v>0</v>
      </c>
    </row>
    <row r="130" spans="1:4" ht="15" thickBot="1" x14ac:dyDescent="0.4">
      <c r="A130" s="1" t="s">
        <v>129</v>
      </c>
      <c r="B130" s="3" t="s">
        <v>261</v>
      </c>
      <c r="C130" s="3" t="s">
        <v>258</v>
      </c>
      <c r="D130" s="6">
        <f>IF(Table3[[#This Row],[8.3 Attendance in Library per Typical Week]] = "N/A", 0, Table3[[#This Row],[8.3 Attendance in Library per Typical Week]])</f>
        <v>0</v>
      </c>
    </row>
    <row r="131" spans="1:4" ht="15" thickBot="1" x14ac:dyDescent="0.4">
      <c r="A131" s="1" t="s">
        <v>130</v>
      </c>
      <c r="B131" s="3" t="s">
        <v>261</v>
      </c>
      <c r="C131" s="3" t="s">
        <v>258</v>
      </c>
      <c r="D131" s="6">
        <f>IF(Table3[[#This Row],[8.3 Attendance in Library per Typical Week]] = "N/A", 0, Table3[[#This Row],[8.3 Attendance in Library per Typical Week]])</f>
        <v>0</v>
      </c>
    </row>
    <row r="132" spans="1:4" ht="15" thickBot="1" x14ac:dyDescent="0.4">
      <c r="A132" s="1" t="s">
        <v>131</v>
      </c>
      <c r="B132" s="2">
        <v>1241</v>
      </c>
      <c r="C132" s="2">
        <v>64532</v>
      </c>
      <c r="D132" s="6">
        <f>IF(Table3[[#This Row],[8.3 Attendance in Library per Typical Week]] = "N/A", 0, Table3[[#This Row],[8.3 Attendance in Library per Typical Week]])</f>
        <v>1241</v>
      </c>
    </row>
    <row r="133" spans="1:4" ht="15" thickBot="1" x14ac:dyDescent="0.4">
      <c r="A133" s="1" t="s">
        <v>132</v>
      </c>
      <c r="B133" s="2">
        <v>7721</v>
      </c>
      <c r="C133" s="2">
        <v>401492</v>
      </c>
      <c r="D133" s="6">
        <f>IF(Table3[[#This Row],[8.3 Attendance in Library per Typical Week]] = "N/A", 0, Table3[[#This Row],[8.3 Attendance in Library per Typical Week]])</f>
        <v>7721</v>
      </c>
    </row>
    <row r="134" spans="1:4" ht="15" thickBot="1" x14ac:dyDescent="0.4">
      <c r="A134" s="1" t="s">
        <v>133</v>
      </c>
      <c r="B134" s="3" t="s">
        <v>261</v>
      </c>
      <c r="C134" s="3" t="s">
        <v>258</v>
      </c>
      <c r="D134" s="6">
        <f>IF(Table3[[#This Row],[8.3 Attendance in Library per Typical Week]] = "N/A", 0, Table3[[#This Row],[8.3 Attendance in Library per Typical Week]])</f>
        <v>0</v>
      </c>
    </row>
    <row r="135" spans="1:4" ht="15" thickBot="1" x14ac:dyDescent="0.4">
      <c r="A135" s="1" t="s">
        <v>134</v>
      </c>
      <c r="B135" s="3" t="s">
        <v>261</v>
      </c>
      <c r="C135" s="3" t="s">
        <v>258</v>
      </c>
      <c r="D135" s="6">
        <f>IF(Table3[[#This Row],[8.3 Attendance in Library per Typical Week]] = "N/A", 0, Table3[[#This Row],[8.3 Attendance in Library per Typical Week]])</f>
        <v>0</v>
      </c>
    </row>
    <row r="136" spans="1:4" ht="15" thickBot="1" x14ac:dyDescent="0.4">
      <c r="A136" s="1" t="s">
        <v>135</v>
      </c>
      <c r="B136" s="2">
        <v>387</v>
      </c>
      <c r="C136" s="2">
        <v>20124</v>
      </c>
      <c r="D136" s="6">
        <f>IF(Table3[[#This Row],[8.3 Attendance in Library per Typical Week]] = "N/A", 0, Table3[[#This Row],[8.3 Attendance in Library per Typical Week]])</f>
        <v>387</v>
      </c>
    </row>
    <row r="137" spans="1:4" ht="15" thickBot="1" x14ac:dyDescent="0.4">
      <c r="A137" s="1" t="s">
        <v>136</v>
      </c>
      <c r="B137" s="3" t="s">
        <v>261</v>
      </c>
      <c r="C137" s="3" t="s">
        <v>258</v>
      </c>
      <c r="D137" s="6">
        <f>IF(Table3[[#This Row],[8.3 Attendance in Library per Typical Week]] = "N/A", 0, Table3[[#This Row],[8.3 Attendance in Library per Typical Week]])</f>
        <v>0</v>
      </c>
    </row>
    <row r="138" spans="1:4" ht="15" thickBot="1" x14ac:dyDescent="0.4">
      <c r="A138" s="1" t="s">
        <v>137</v>
      </c>
      <c r="B138" s="2">
        <v>608</v>
      </c>
      <c r="C138" s="2">
        <v>31616</v>
      </c>
      <c r="D138" s="6">
        <f>IF(Table3[[#This Row],[8.3 Attendance in Library per Typical Week]] = "N/A", 0, Table3[[#This Row],[8.3 Attendance in Library per Typical Week]])</f>
        <v>608</v>
      </c>
    </row>
    <row r="139" spans="1:4" ht="15" thickBot="1" x14ac:dyDescent="0.4">
      <c r="A139" s="1" t="s">
        <v>138</v>
      </c>
      <c r="B139" s="3" t="s">
        <v>261</v>
      </c>
      <c r="C139" s="3" t="s">
        <v>258</v>
      </c>
      <c r="D139" s="6">
        <f>IF(Table3[[#This Row],[8.3 Attendance in Library per Typical Week]] = "N/A", 0, Table3[[#This Row],[8.3 Attendance in Library per Typical Week]])</f>
        <v>0</v>
      </c>
    </row>
    <row r="140" spans="1:4" ht="15" thickBot="1" x14ac:dyDescent="0.4">
      <c r="A140" s="1" t="s">
        <v>139</v>
      </c>
      <c r="B140" s="3" t="s">
        <v>261</v>
      </c>
      <c r="C140" s="3" t="s">
        <v>258</v>
      </c>
      <c r="D140" s="6">
        <f>IF(Table3[[#This Row],[8.3 Attendance in Library per Typical Week]] = "N/A", 0, Table3[[#This Row],[8.3 Attendance in Library per Typical Week]])</f>
        <v>0</v>
      </c>
    </row>
    <row r="141" spans="1:4" ht="15" thickBot="1" x14ac:dyDescent="0.4">
      <c r="A141" s="1" t="s">
        <v>140</v>
      </c>
      <c r="B141" s="2">
        <v>2038</v>
      </c>
      <c r="C141" s="2">
        <v>105976</v>
      </c>
      <c r="D141" s="6">
        <f>IF(Table3[[#This Row],[8.3 Attendance in Library per Typical Week]] = "N/A", 0, Table3[[#This Row],[8.3 Attendance in Library per Typical Week]])</f>
        <v>2038</v>
      </c>
    </row>
    <row r="142" spans="1:4" ht="15" thickBot="1" x14ac:dyDescent="0.4">
      <c r="A142" s="1" t="s">
        <v>141</v>
      </c>
      <c r="B142" s="2">
        <v>278</v>
      </c>
      <c r="C142" s="2">
        <v>14456</v>
      </c>
      <c r="D142" s="6">
        <f>IF(Table3[[#This Row],[8.3 Attendance in Library per Typical Week]] = "N/A", 0, Table3[[#This Row],[8.3 Attendance in Library per Typical Week]])</f>
        <v>278</v>
      </c>
    </row>
    <row r="143" spans="1:4" ht="15" thickBot="1" x14ac:dyDescent="0.4">
      <c r="A143" s="1" t="s">
        <v>142</v>
      </c>
      <c r="B143" s="3" t="s">
        <v>261</v>
      </c>
      <c r="C143" s="3" t="s">
        <v>258</v>
      </c>
      <c r="D143" s="6">
        <f>IF(Table3[[#This Row],[8.3 Attendance in Library per Typical Week]] = "N/A", 0, Table3[[#This Row],[8.3 Attendance in Library per Typical Week]])</f>
        <v>0</v>
      </c>
    </row>
    <row r="144" spans="1:4" ht="15" thickBot="1" x14ac:dyDescent="0.4">
      <c r="A144" s="1" t="s">
        <v>143</v>
      </c>
      <c r="B144" s="3" t="s">
        <v>261</v>
      </c>
      <c r="C144" s="3" t="s">
        <v>258</v>
      </c>
      <c r="D144" s="6">
        <f>IF(Table3[[#This Row],[8.3 Attendance in Library per Typical Week]] = "N/A", 0, Table3[[#This Row],[8.3 Attendance in Library per Typical Week]])</f>
        <v>0</v>
      </c>
    </row>
    <row r="145" spans="1:4" ht="15" thickBot="1" x14ac:dyDescent="0.4">
      <c r="A145" s="1" t="s">
        <v>144</v>
      </c>
      <c r="B145" s="2">
        <v>4883</v>
      </c>
      <c r="C145" s="2">
        <v>253916</v>
      </c>
      <c r="D145" s="6">
        <f>IF(Table3[[#This Row],[8.3 Attendance in Library per Typical Week]] = "N/A", 0, Table3[[#This Row],[8.3 Attendance in Library per Typical Week]])</f>
        <v>4883</v>
      </c>
    </row>
    <row r="146" spans="1:4" ht="15" thickBot="1" x14ac:dyDescent="0.4">
      <c r="A146" s="1" t="s">
        <v>145</v>
      </c>
      <c r="B146" s="3" t="s">
        <v>261</v>
      </c>
      <c r="C146" s="3" t="s">
        <v>258</v>
      </c>
      <c r="D146" s="6">
        <f>IF(Table3[[#This Row],[8.3 Attendance in Library per Typical Week]] = "N/A", 0, Table3[[#This Row],[8.3 Attendance in Library per Typical Week]])</f>
        <v>0</v>
      </c>
    </row>
    <row r="147" spans="1:4" ht="15" thickBot="1" x14ac:dyDescent="0.4">
      <c r="A147" s="1" t="s">
        <v>146</v>
      </c>
      <c r="B147" s="3" t="s">
        <v>261</v>
      </c>
      <c r="C147" s="3" t="s">
        <v>258</v>
      </c>
      <c r="D147" s="6">
        <f>IF(Table3[[#This Row],[8.3 Attendance in Library per Typical Week]] = "N/A", 0, Table3[[#This Row],[8.3 Attendance in Library per Typical Week]])</f>
        <v>0</v>
      </c>
    </row>
    <row r="148" spans="1:4" ht="15" thickBot="1" x14ac:dyDescent="0.4">
      <c r="A148" s="1" t="s">
        <v>147</v>
      </c>
      <c r="B148" s="3" t="s">
        <v>261</v>
      </c>
      <c r="C148" s="3" t="s">
        <v>258</v>
      </c>
      <c r="D148" s="6">
        <f>IF(Table3[[#This Row],[8.3 Attendance in Library per Typical Week]] = "N/A", 0, Table3[[#This Row],[8.3 Attendance in Library per Typical Week]])</f>
        <v>0</v>
      </c>
    </row>
    <row r="149" spans="1:4" ht="15" thickBot="1" x14ac:dyDescent="0.4">
      <c r="A149" s="1" t="s">
        <v>148</v>
      </c>
      <c r="B149" s="3" t="s">
        <v>261</v>
      </c>
      <c r="C149" s="3" t="s">
        <v>258</v>
      </c>
      <c r="D149" s="6">
        <f>IF(Table3[[#This Row],[8.3 Attendance in Library per Typical Week]] = "N/A", 0, Table3[[#This Row],[8.3 Attendance in Library per Typical Week]])</f>
        <v>0</v>
      </c>
    </row>
    <row r="150" spans="1:4" ht="15" thickBot="1" x14ac:dyDescent="0.4">
      <c r="A150" s="1" t="s">
        <v>149</v>
      </c>
      <c r="B150" s="3" t="s">
        <v>261</v>
      </c>
      <c r="C150" s="3" t="s">
        <v>258</v>
      </c>
      <c r="D150" s="6">
        <f>IF(Table3[[#This Row],[8.3 Attendance in Library per Typical Week]] = "N/A", 0, Table3[[#This Row],[8.3 Attendance in Library per Typical Week]])</f>
        <v>0</v>
      </c>
    </row>
    <row r="151" spans="1:4" ht="15" thickBot="1" x14ac:dyDescent="0.4">
      <c r="A151" s="1" t="s">
        <v>150</v>
      </c>
      <c r="B151" s="3" t="s">
        <v>261</v>
      </c>
      <c r="C151" s="3" t="s">
        <v>258</v>
      </c>
      <c r="D151" s="6">
        <f>IF(Table3[[#This Row],[8.3 Attendance in Library per Typical Week]] = "N/A", 0, Table3[[#This Row],[8.3 Attendance in Library per Typical Week]])</f>
        <v>0</v>
      </c>
    </row>
    <row r="152" spans="1:4" ht="15" thickBot="1" x14ac:dyDescent="0.4">
      <c r="A152" s="1" t="s">
        <v>151</v>
      </c>
      <c r="B152" s="3" t="s">
        <v>261</v>
      </c>
      <c r="C152" s="3" t="s">
        <v>258</v>
      </c>
      <c r="D152" s="6">
        <f>IF(Table3[[#This Row],[8.3 Attendance in Library per Typical Week]] = "N/A", 0, Table3[[#This Row],[8.3 Attendance in Library per Typical Week]])</f>
        <v>0</v>
      </c>
    </row>
    <row r="153" spans="1:4" ht="15" thickBot="1" x14ac:dyDescent="0.4">
      <c r="A153" s="1" t="s">
        <v>152</v>
      </c>
      <c r="B153" s="3" t="s">
        <v>261</v>
      </c>
      <c r="C153" s="3" t="s">
        <v>258</v>
      </c>
      <c r="D153" s="6">
        <f>IF(Table3[[#This Row],[8.3 Attendance in Library per Typical Week]] = "N/A", 0, Table3[[#This Row],[8.3 Attendance in Library per Typical Week]])</f>
        <v>0</v>
      </c>
    </row>
    <row r="154" spans="1:4" ht="15" thickBot="1" x14ac:dyDescent="0.4">
      <c r="A154" s="1" t="s">
        <v>153</v>
      </c>
      <c r="B154" s="3" t="s">
        <v>261</v>
      </c>
      <c r="C154" s="3" t="s">
        <v>258</v>
      </c>
      <c r="D154" s="6">
        <f>IF(Table3[[#This Row],[8.3 Attendance in Library per Typical Week]] = "N/A", 0, Table3[[#This Row],[8.3 Attendance in Library per Typical Week]])</f>
        <v>0</v>
      </c>
    </row>
    <row r="155" spans="1:4" ht="15" thickBot="1" x14ac:dyDescent="0.4">
      <c r="A155" s="1" t="s">
        <v>154</v>
      </c>
      <c r="B155" s="3" t="s">
        <v>261</v>
      </c>
      <c r="C155" s="2">
        <v>0</v>
      </c>
      <c r="D155" s="6">
        <f>IF(Table3[[#This Row],[8.3 Attendance in Library per Typical Week]] = "N/A", 0, Table3[[#This Row],[8.3 Attendance in Library per Typical Week]])</f>
        <v>0</v>
      </c>
    </row>
    <row r="156" spans="1:4" ht="15" thickBot="1" x14ac:dyDescent="0.4">
      <c r="A156" s="1" t="s">
        <v>155</v>
      </c>
      <c r="B156" s="3" t="s">
        <v>261</v>
      </c>
      <c r="C156" s="2">
        <v>0</v>
      </c>
      <c r="D156" s="6">
        <f>IF(Table3[[#This Row],[8.3 Attendance in Library per Typical Week]] = "N/A", 0, Table3[[#This Row],[8.3 Attendance in Library per Typical Week]])</f>
        <v>0</v>
      </c>
    </row>
    <row r="157" spans="1:4" ht="15" thickBot="1" x14ac:dyDescent="0.4">
      <c r="A157" s="1" t="s">
        <v>156</v>
      </c>
      <c r="B157" s="3" t="s">
        <v>261</v>
      </c>
      <c r="C157" s="3" t="s">
        <v>258</v>
      </c>
      <c r="D157" s="6">
        <f>IF(Table3[[#This Row],[8.3 Attendance in Library per Typical Week]] = "N/A", 0, Table3[[#This Row],[8.3 Attendance in Library per Typical Week]])</f>
        <v>0</v>
      </c>
    </row>
    <row r="158" spans="1:4" ht="15" thickBot="1" x14ac:dyDescent="0.4">
      <c r="A158" s="1" t="s">
        <v>157</v>
      </c>
      <c r="B158" s="3" t="s">
        <v>261</v>
      </c>
      <c r="C158" s="3" t="s">
        <v>258</v>
      </c>
      <c r="D158" s="6">
        <f>IF(Table3[[#This Row],[8.3 Attendance in Library per Typical Week]] = "N/A", 0, Table3[[#This Row],[8.3 Attendance in Library per Typical Week]])</f>
        <v>0</v>
      </c>
    </row>
    <row r="159" spans="1:4" ht="15" thickBot="1" x14ac:dyDescent="0.4">
      <c r="A159" s="1" t="s">
        <v>158</v>
      </c>
      <c r="B159" s="2">
        <v>288</v>
      </c>
      <c r="C159" s="2">
        <v>14976</v>
      </c>
      <c r="D159" s="6">
        <f>IF(Table3[[#This Row],[8.3 Attendance in Library per Typical Week]] = "N/A", 0, Table3[[#This Row],[8.3 Attendance in Library per Typical Week]])</f>
        <v>288</v>
      </c>
    </row>
    <row r="160" spans="1:4" ht="15" thickBot="1" x14ac:dyDescent="0.4">
      <c r="A160" s="1" t="s">
        <v>159</v>
      </c>
      <c r="B160" s="3" t="s">
        <v>261</v>
      </c>
      <c r="C160" s="3" t="s">
        <v>258</v>
      </c>
      <c r="D160" s="6">
        <f>IF(Table3[[#This Row],[8.3 Attendance in Library per Typical Week]] = "N/A", 0, Table3[[#This Row],[8.3 Attendance in Library per Typical Week]])</f>
        <v>0</v>
      </c>
    </row>
    <row r="161" spans="1:4" ht="15" thickBot="1" x14ac:dyDescent="0.4">
      <c r="A161" s="1" t="s">
        <v>160</v>
      </c>
      <c r="B161" s="3" t="s">
        <v>261</v>
      </c>
      <c r="C161" s="3" t="s">
        <v>258</v>
      </c>
      <c r="D161" s="6">
        <f>IF(Table3[[#This Row],[8.3 Attendance in Library per Typical Week]] = "N/A", 0, Table3[[#This Row],[8.3 Attendance in Library per Typical Week]])</f>
        <v>0</v>
      </c>
    </row>
    <row r="162" spans="1:4" ht="15" thickBot="1" x14ac:dyDescent="0.4">
      <c r="A162" s="1" t="s">
        <v>161</v>
      </c>
      <c r="B162" s="3" t="s">
        <v>261</v>
      </c>
      <c r="C162" s="3" t="s">
        <v>258</v>
      </c>
      <c r="D162" s="6">
        <f>IF(Table3[[#This Row],[8.3 Attendance in Library per Typical Week]] = "N/A", 0, Table3[[#This Row],[8.3 Attendance in Library per Typical Week]])</f>
        <v>0</v>
      </c>
    </row>
    <row r="163" spans="1:4" ht="15" thickBot="1" x14ac:dyDescent="0.4">
      <c r="A163" s="1" t="s">
        <v>162</v>
      </c>
      <c r="B163" s="3" t="s">
        <v>261</v>
      </c>
      <c r="C163" s="3" t="s">
        <v>258</v>
      </c>
      <c r="D163" s="6">
        <f>IF(Table3[[#This Row],[8.3 Attendance in Library per Typical Week]] = "N/A", 0, Table3[[#This Row],[8.3 Attendance in Library per Typical Week]])</f>
        <v>0</v>
      </c>
    </row>
    <row r="164" spans="1:4" ht="15" thickBot="1" x14ac:dyDescent="0.4">
      <c r="A164" s="1" t="s">
        <v>163</v>
      </c>
      <c r="B164" s="2">
        <v>344</v>
      </c>
      <c r="C164" s="2">
        <v>17888</v>
      </c>
      <c r="D164" s="6">
        <f>IF(Table3[[#This Row],[8.3 Attendance in Library per Typical Week]] = "N/A", 0, Table3[[#This Row],[8.3 Attendance in Library per Typical Week]])</f>
        <v>344</v>
      </c>
    </row>
    <row r="165" spans="1:4" ht="15" thickBot="1" x14ac:dyDescent="0.4">
      <c r="A165" s="1" t="s">
        <v>164</v>
      </c>
      <c r="B165" s="3" t="s">
        <v>261</v>
      </c>
      <c r="C165" s="3" t="s">
        <v>258</v>
      </c>
      <c r="D165" s="6">
        <f>IF(Table3[[#This Row],[8.3 Attendance in Library per Typical Week]] = "N/A", 0, Table3[[#This Row],[8.3 Attendance in Library per Typical Week]])</f>
        <v>0</v>
      </c>
    </row>
    <row r="166" spans="1:4" ht="15" thickBot="1" x14ac:dyDescent="0.4">
      <c r="A166" s="1" t="s">
        <v>165</v>
      </c>
      <c r="B166" s="3" t="s">
        <v>261</v>
      </c>
      <c r="C166" s="3" t="s">
        <v>258</v>
      </c>
      <c r="D166" s="6">
        <f>IF(Table3[[#This Row],[8.3 Attendance in Library per Typical Week]] = "N/A", 0, Table3[[#This Row],[8.3 Attendance in Library per Typical Week]])</f>
        <v>0</v>
      </c>
    </row>
    <row r="167" spans="1:4" ht="15" thickBot="1" x14ac:dyDescent="0.4">
      <c r="A167" s="1" t="s">
        <v>166</v>
      </c>
      <c r="B167" s="3" t="s">
        <v>261</v>
      </c>
      <c r="C167" s="3" t="s">
        <v>258</v>
      </c>
      <c r="D167" s="6">
        <f>IF(Table3[[#This Row],[8.3 Attendance in Library per Typical Week]] = "N/A", 0, Table3[[#This Row],[8.3 Attendance in Library per Typical Week]])</f>
        <v>0</v>
      </c>
    </row>
    <row r="168" spans="1:4" ht="15" thickBot="1" x14ac:dyDescent="0.4">
      <c r="A168" s="1" t="s">
        <v>167</v>
      </c>
      <c r="B168" s="3" t="s">
        <v>261</v>
      </c>
      <c r="C168" s="3" t="s">
        <v>258</v>
      </c>
      <c r="D168" s="6">
        <f>IF(Table3[[#This Row],[8.3 Attendance in Library per Typical Week]] = "N/A", 0, Table3[[#This Row],[8.3 Attendance in Library per Typical Week]])</f>
        <v>0</v>
      </c>
    </row>
    <row r="169" spans="1:4" ht="15" thickBot="1" x14ac:dyDescent="0.4">
      <c r="A169" s="1" t="s">
        <v>168</v>
      </c>
      <c r="B169" s="3" t="s">
        <v>261</v>
      </c>
      <c r="C169" s="3" t="s">
        <v>258</v>
      </c>
      <c r="D169" s="6">
        <f>IF(Table3[[#This Row],[8.3 Attendance in Library per Typical Week]] = "N/A", 0, Table3[[#This Row],[8.3 Attendance in Library per Typical Week]])</f>
        <v>0</v>
      </c>
    </row>
    <row r="170" spans="1:4" ht="15" thickBot="1" x14ac:dyDescent="0.4">
      <c r="A170" s="1" t="s">
        <v>169</v>
      </c>
      <c r="B170" s="3" t="s">
        <v>261</v>
      </c>
      <c r="C170" s="3" t="s">
        <v>258</v>
      </c>
      <c r="D170" s="6">
        <f>IF(Table3[[#This Row],[8.3 Attendance in Library per Typical Week]] = "N/A", 0, Table3[[#This Row],[8.3 Attendance in Library per Typical Week]])</f>
        <v>0</v>
      </c>
    </row>
    <row r="171" spans="1:4" ht="15" thickBot="1" x14ac:dyDescent="0.4">
      <c r="A171" s="1" t="s">
        <v>170</v>
      </c>
      <c r="B171" s="3" t="s">
        <v>261</v>
      </c>
      <c r="C171" s="3" t="s">
        <v>258</v>
      </c>
      <c r="D171" s="6">
        <f>IF(Table3[[#This Row],[8.3 Attendance in Library per Typical Week]] = "N/A", 0, Table3[[#This Row],[8.3 Attendance in Library per Typical Week]])</f>
        <v>0</v>
      </c>
    </row>
    <row r="172" spans="1:4" ht="15" thickBot="1" x14ac:dyDescent="0.4">
      <c r="A172" s="1" t="s">
        <v>171</v>
      </c>
      <c r="B172" s="3" t="s">
        <v>261</v>
      </c>
      <c r="C172" s="3" t="s">
        <v>258</v>
      </c>
      <c r="D172" s="6">
        <f>IF(Table3[[#This Row],[8.3 Attendance in Library per Typical Week]] = "N/A", 0, Table3[[#This Row],[8.3 Attendance in Library per Typical Week]])</f>
        <v>0</v>
      </c>
    </row>
    <row r="173" spans="1:4" ht="15" thickBot="1" x14ac:dyDescent="0.4">
      <c r="A173" s="1" t="s">
        <v>172</v>
      </c>
      <c r="B173" s="3" t="s">
        <v>261</v>
      </c>
      <c r="C173" s="3" t="s">
        <v>258</v>
      </c>
      <c r="D173" s="6">
        <f>IF(Table3[[#This Row],[8.3 Attendance in Library per Typical Week]] = "N/A", 0, Table3[[#This Row],[8.3 Attendance in Library per Typical Week]])</f>
        <v>0</v>
      </c>
    </row>
    <row r="174" spans="1:4" ht="15" thickBot="1" x14ac:dyDescent="0.4">
      <c r="A174" s="1" t="s">
        <v>173</v>
      </c>
      <c r="B174" s="3" t="s">
        <v>261</v>
      </c>
      <c r="C174" s="3" t="s">
        <v>258</v>
      </c>
      <c r="D174" s="6">
        <f>IF(Table3[[#This Row],[8.3 Attendance in Library per Typical Week]] = "N/A", 0, Table3[[#This Row],[8.3 Attendance in Library per Typical Week]])</f>
        <v>0</v>
      </c>
    </row>
    <row r="175" spans="1:4" ht="15" thickBot="1" x14ac:dyDescent="0.4">
      <c r="A175" s="1" t="s">
        <v>174</v>
      </c>
      <c r="B175" s="3" t="s">
        <v>261</v>
      </c>
      <c r="C175" s="3" t="s">
        <v>258</v>
      </c>
      <c r="D175" s="6">
        <f>IF(Table3[[#This Row],[8.3 Attendance in Library per Typical Week]] = "N/A", 0, Table3[[#This Row],[8.3 Attendance in Library per Typical Week]])</f>
        <v>0</v>
      </c>
    </row>
    <row r="176" spans="1:4" ht="15" thickBot="1" x14ac:dyDescent="0.4">
      <c r="A176" s="1" t="s">
        <v>175</v>
      </c>
      <c r="B176" s="3" t="s">
        <v>261</v>
      </c>
      <c r="C176" s="3" t="s">
        <v>258</v>
      </c>
      <c r="D176" s="6">
        <f>IF(Table3[[#This Row],[8.3 Attendance in Library per Typical Week]] = "N/A", 0, Table3[[#This Row],[8.3 Attendance in Library per Typical Week]])</f>
        <v>0</v>
      </c>
    </row>
    <row r="177" spans="1:4" ht="15" thickBot="1" x14ac:dyDescent="0.4">
      <c r="A177" s="1" t="s">
        <v>176</v>
      </c>
      <c r="B177" s="3" t="s">
        <v>261</v>
      </c>
      <c r="C177" s="3" t="s">
        <v>258</v>
      </c>
      <c r="D177" s="6">
        <f>IF(Table3[[#This Row],[8.3 Attendance in Library per Typical Week]] = "N/A", 0, Table3[[#This Row],[8.3 Attendance in Library per Typical Week]])</f>
        <v>0</v>
      </c>
    </row>
    <row r="178" spans="1:4" ht="15" thickBot="1" x14ac:dyDescent="0.4">
      <c r="A178" s="1" t="s">
        <v>177</v>
      </c>
      <c r="B178" s="3" t="s">
        <v>261</v>
      </c>
      <c r="C178" s="3" t="s">
        <v>258</v>
      </c>
      <c r="D178" s="6">
        <f>IF(Table3[[#This Row],[8.3 Attendance in Library per Typical Week]] = "N/A", 0, Table3[[#This Row],[8.3 Attendance in Library per Typical Week]])</f>
        <v>0</v>
      </c>
    </row>
    <row r="179" spans="1:4" ht="15" thickBot="1" x14ac:dyDescent="0.4">
      <c r="A179" s="1" t="s">
        <v>178</v>
      </c>
      <c r="B179" s="2">
        <v>481</v>
      </c>
      <c r="C179" s="2">
        <v>25012</v>
      </c>
      <c r="D179" s="6">
        <f>IF(Table3[[#This Row],[8.3 Attendance in Library per Typical Week]] = "N/A", 0, Table3[[#This Row],[8.3 Attendance in Library per Typical Week]])</f>
        <v>481</v>
      </c>
    </row>
    <row r="180" spans="1:4" ht="15" thickBot="1" x14ac:dyDescent="0.4">
      <c r="A180" s="1" t="s">
        <v>179</v>
      </c>
      <c r="B180" s="3" t="s">
        <v>261</v>
      </c>
      <c r="C180" s="3" t="s">
        <v>258</v>
      </c>
      <c r="D180" s="6">
        <f>IF(Table3[[#This Row],[8.3 Attendance in Library per Typical Week]] = "N/A", 0, Table3[[#This Row],[8.3 Attendance in Library per Typical Week]])</f>
        <v>0</v>
      </c>
    </row>
    <row r="181" spans="1:4" ht="15" thickBot="1" x14ac:dyDescent="0.4">
      <c r="A181" s="1" t="s">
        <v>180</v>
      </c>
      <c r="B181" s="3" t="s">
        <v>261</v>
      </c>
      <c r="C181" s="3" t="s">
        <v>258</v>
      </c>
      <c r="D181" s="6">
        <f>IF(Table3[[#This Row],[8.3 Attendance in Library per Typical Week]] = "N/A", 0, Table3[[#This Row],[8.3 Attendance in Library per Typical Week]])</f>
        <v>0</v>
      </c>
    </row>
    <row r="182" spans="1:4" ht="15" thickBot="1" x14ac:dyDescent="0.4">
      <c r="A182" s="1" t="s">
        <v>181</v>
      </c>
      <c r="B182" s="2">
        <v>95</v>
      </c>
      <c r="C182" s="2">
        <v>4940</v>
      </c>
      <c r="D182" s="6">
        <f>IF(Table3[[#This Row],[8.3 Attendance in Library per Typical Week]] = "N/A", 0, Table3[[#This Row],[8.3 Attendance in Library per Typical Week]])</f>
        <v>95</v>
      </c>
    </row>
    <row r="183" spans="1:4" ht="15" thickBot="1" x14ac:dyDescent="0.4">
      <c r="A183" s="1" t="s">
        <v>182</v>
      </c>
      <c r="B183" s="3" t="s">
        <v>261</v>
      </c>
      <c r="C183" s="2">
        <v>0</v>
      </c>
      <c r="D183" s="6">
        <f>IF(Table3[[#This Row],[8.3 Attendance in Library per Typical Week]] = "N/A", 0, Table3[[#This Row],[8.3 Attendance in Library per Typical Week]])</f>
        <v>0</v>
      </c>
    </row>
    <row r="184" spans="1:4" ht="15" thickBot="1" x14ac:dyDescent="0.4">
      <c r="A184" s="1" t="s">
        <v>183</v>
      </c>
      <c r="B184" s="3" t="s">
        <v>261</v>
      </c>
      <c r="C184" s="3" t="s">
        <v>258</v>
      </c>
      <c r="D184" s="6">
        <f>IF(Table3[[#This Row],[8.3 Attendance in Library per Typical Week]] = "N/A", 0, Table3[[#This Row],[8.3 Attendance in Library per Typical Week]])</f>
        <v>0</v>
      </c>
    </row>
    <row r="185" spans="1:4" ht="15" thickBot="1" x14ac:dyDescent="0.4">
      <c r="A185" s="1" t="s">
        <v>184</v>
      </c>
      <c r="B185" s="3" t="s">
        <v>261</v>
      </c>
      <c r="C185" s="3" t="s">
        <v>258</v>
      </c>
      <c r="D185" s="6">
        <f>IF(Table3[[#This Row],[8.3 Attendance in Library per Typical Week]] = "N/A", 0, Table3[[#This Row],[8.3 Attendance in Library per Typical Week]])</f>
        <v>0</v>
      </c>
    </row>
    <row r="186" spans="1:4" ht="15" thickBot="1" x14ac:dyDescent="0.4">
      <c r="A186" s="1" t="s">
        <v>185</v>
      </c>
      <c r="B186" s="2">
        <v>1668</v>
      </c>
      <c r="C186" s="2">
        <v>86736</v>
      </c>
      <c r="D186" s="6">
        <f>IF(Table3[[#This Row],[8.3 Attendance in Library per Typical Week]] = "N/A", 0, Table3[[#This Row],[8.3 Attendance in Library per Typical Week]])</f>
        <v>1668</v>
      </c>
    </row>
    <row r="187" spans="1:4" ht="15" thickBot="1" x14ac:dyDescent="0.4">
      <c r="A187" s="1" t="s">
        <v>186</v>
      </c>
      <c r="B187" s="3" t="s">
        <v>261</v>
      </c>
      <c r="C187" s="3" t="s">
        <v>258</v>
      </c>
      <c r="D187" s="6">
        <f>IF(Table3[[#This Row],[8.3 Attendance in Library per Typical Week]] = "N/A", 0, Table3[[#This Row],[8.3 Attendance in Library per Typical Week]])</f>
        <v>0</v>
      </c>
    </row>
    <row r="188" spans="1:4" ht="15" thickBot="1" x14ac:dyDescent="0.4">
      <c r="A188" s="1" t="s">
        <v>187</v>
      </c>
      <c r="B188" s="3" t="s">
        <v>261</v>
      </c>
      <c r="C188" s="3" t="s">
        <v>258</v>
      </c>
      <c r="D188" s="6">
        <f>IF(Table3[[#This Row],[8.3 Attendance in Library per Typical Week]] = "N/A", 0, Table3[[#This Row],[8.3 Attendance in Library per Typical Week]])</f>
        <v>0</v>
      </c>
    </row>
    <row r="189" spans="1:4" ht="15" thickBot="1" x14ac:dyDescent="0.4">
      <c r="A189" s="1" t="s">
        <v>188</v>
      </c>
      <c r="B189" s="3" t="s">
        <v>261</v>
      </c>
      <c r="C189" s="3" t="s">
        <v>258</v>
      </c>
      <c r="D189" s="6">
        <f>IF(Table3[[#This Row],[8.3 Attendance in Library per Typical Week]] = "N/A", 0, Table3[[#This Row],[8.3 Attendance in Library per Typical Week]])</f>
        <v>0</v>
      </c>
    </row>
    <row r="190" spans="1:4" ht="15" thickBot="1" x14ac:dyDescent="0.4">
      <c r="A190" s="1" t="s">
        <v>189</v>
      </c>
      <c r="B190" s="3" t="s">
        <v>261</v>
      </c>
      <c r="C190" s="3" t="s">
        <v>258</v>
      </c>
      <c r="D190" s="6">
        <f>IF(Table3[[#This Row],[8.3 Attendance in Library per Typical Week]] = "N/A", 0, Table3[[#This Row],[8.3 Attendance in Library per Typical Week]])</f>
        <v>0</v>
      </c>
    </row>
    <row r="191" spans="1:4" ht="15" thickBot="1" x14ac:dyDescent="0.4">
      <c r="A191" s="1" t="s">
        <v>190</v>
      </c>
      <c r="B191" s="3" t="s">
        <v>261</v>
      </c>
      <c r="C191" s="3" t="s">
        <v>258</v>
      </c>
      <c r="D191" s="6">
        <f>IF(Table3[[#This Row],[8.3 Attendance in Library per Typical Week]] = "N/A", 0, Table3[[#This Row],[8.3 Attendance in Library per Typical Week]])</f>
        <v>0</v>
      </c>
    </row>
    <row r="192" spans="1:4" ht="15" thickBot="1" x14ac:dyDescent="0.4">
      <c r="A192" s="1" t="s">
        <v>191</v>
      </c>
      <c r="B192" s="3" t="s">
        <v>261</v>
      </c>
      <c r="C192" s="3" t="s">
        <v>258</v>
      </c>
      <c r="D192" s="6">
        <f>IF(Table3[[#This Row],[8.3 Attendance in Library per Typical Week]] = "N/A", 0, Table3[[#This Row],[8.3 Attendance in Library per Typical Week]])</f>
        <v>0</v>
      </c>
    </row>
    <row r="193" spans="1:4" ht="15" thickBot="1" x14ac:dyDescent="0.4">
      <c r="A193" s="1" t="s">
        <v>192</v>
      </c>
      <c r="B193" s="3" t="s">
        <v>261</v>
      </c>
      <c r="C193" s="3" t="s">
        <v>258</v>
      </c>
      <c r="D193" s="6">
        <f>IF(Table3[[#This Row],[8.3 Attendance in Library per Typical Week]] = "N/A", 0, Table3[[#This Row],[8.3 Attendance in Library per Typical Week]])</f>
        <v>0</v>
      </c>
    </row>
    <row r="194" spans="1:4" ht="15" thickBot="1" x14ac:dyDescent="0.4">
      <c r="A194" s="1" t="s">
        <v>193</v>
      </c>
      <c r="B194" s="3" t="s">
        <v>261</v>
      </c>
      <c r="C194" s="3" t="s">
        <v>258</v>
      </c>
      <c r="D194" s="6">
        <f>IF(Table3[[#This Row],[8.3 Attendance in Library per Typical Week]] = "N/A", 0, Table3[[#This Row],[8.3 Attendance in Library per Typical Week]])</f>
        <v>0</v>
      </c>
    </row>
    <row r="195" spans="1:4" ht="15" thickBot="1" x14ac:dyDescent="0.4">
      <c r="A195" s="1" t="s">
        <v>194</v>
      </c>
      <c r="B195" s="3" t="s">
        <v>261</v>
      </c>
      <c r="C195" s="3" t="s">
        <v>258</v>
      </c>
      <c r="D195" s="6">
        <f>IF(Table3[[#This Row],[8.3 Attendance in Library per Typical Week]] = "N/A", 0, Table3[[#This Row],[8.3 Attendance in Library per Typical Week]])</f>
        <v>0</v>
      </c>
    </row>
    <row r="196" spans="1:4" ht="15" thickBot="1" x14ac:dyDescent="0.4">
      <c r="A196" s="1" t="s">
        <v>195</v>
      </c>
      <c r="B196" s="3" t="s">
        <v>261</v>
      </c>
      <c r="C196" s="3" t="s">
        <v>258</v>
      </c>
      <c r="D196" s="6">
        <f>IF(Table3[[#This Row],[8.3 Attendance in Library per Typical Week]] = "N/A", 0, Table3[[#This Row],[8.3 Attendance in Library per Typical Week]])</f>
        <v>0</v>
      </c>
    </row>
    <row r="197" spans="1:4" ht="15" thickBot="1" x14ac:dyDescent="0.4">
      <c r="A197" s="1" t="s">
        <v>196</v>
      </c>
      <c r="B197" s="2">
        <v>886</v>
      </c>
      <c r="C197" s="2">
        <v>46072</v>
      </c>
      <c r="D197" s="6">
        <f>IF(Table3[[#This Row],[8.3 Attendance in Library per Typical Week]] = "N/A", 0, Table3[[#This Row],[8.3 Attendance in Library per Typical Week]])</f>
        <v>886</v>
      </c>
    </row>
    <row r="198" spans="1:4" ht="15" thickBot="1" x14ac:dyDescent="0.4">
      <c r="A198" s="1" t="s">
        <v>197</v>
      </c>
      <c r="B198" s="3" t="s">
        <v>261</v>
      </c>
      <c r="C198" s="3" t="s">
        <v>258</v>
      </c>
      <c r="D198" s="6">
        <f>IF(Table3[[#This Row],[8.3 Attendance in Library per Typical Week]] = "N/A", 0, Table3[[#This Row],[8.3 Attendance in Library per Typical Week]])</f>
        <v>0</v>
      </c>
    </row>
    <row r="199" spans="1:4" ht="15" thickBot="1" x14ac:dyDescent="0.4">
      <c r="A199" s="1" t="s">
        <v>198</v>
      </c>
      <c r="B199" s="3" t="s">
        <v>261</v>
      </c>
      <c r="C199" s="3" t="s">
        <v>258</v>
      </c>
      <c r="D199" s="6">
        <f>IF(Table3[[#This Row],[8.3 Attendance in Library per Typical Week]] = "N/A", 0, Table3[[#This Row],[8.3 Attendance in Library per Typical Week]])</f>
        <v>0</v>
      </c>
    </row>
    <row r="200" spans="1:4" ht="15" thickBot="1" x14ac:dyDescent="0.4">
      <c r="A200" s="1" t="s">
        <v>199</v>
      </c>
      <c r="B200" s="2">
        <v>2520</v>
      </c>
      <c r="C200" s="2">
        <v>131040</v>
      </c>
      <c r="D200" s="6">
        <f>IF(Table3[[#This Row],[8.3 Attendance in Library per Typical Week]] = "N/A", 0, Table3[[#This Row],[8.3 Attendance in Library per Typical Week]])</f>
        <v>2520</v>
      </c>
    </row>
    <row r="201" spans="1:4" ht="15" thickBot="1" x14ac:dyDescent="0.4">
      <c r="A201" s="1" t="s">
        <v>200</v>
      </c>
      <c r="B201" s="3" t="s">
        <v>261</v>
      </c>
      <c r="C201" s="3" t="s">
        <v>258</v>
      </c>
      <c r="D201" s="6">
        <f>IF(Table3[[#This Row],[8.3 Attendance in Library per Typical Week]] = "N/A", 0, Table3[[#This Row],[8.3 Attendance in Library per Typical Week]])</f>
        <v>0</v>
      </c>
    </row>
    <row r="202" spans="1:4" ht="15" thickBot="1" x14ac:dyDescent="0.4">
      <c r="A202" s="1" t="s">
        <v>201</v>
      </c>
      <c r="B202" s="3" t="s">
        <v>261</v>
      </c>
      <c r="C202" s="3" t="s">
        <v>258</v>
      </c>
      <c r="D202" s="6">
        <f>IF(Table3[[#This Row],[8.3 Attendance in Library per Typical Week]] = "N/A", 0, Table3[[#This Row],[8.3 Attendance in Library per Typical Week]])</f>
        <v>0</v>
      </c>
    </row>
    <row r="203" spans="1:4" ht="15" thickBot="1" x14ac:dyDescent="0.4">
      <c r="A203" s="1" t="s">
        <v>202</v>
      </c>
      <c r="B203" s="3" t="s">
        <v>261</v>
      </c>
      <c r="C203" s="3" t="s">
        <v>258</v>
      </c>
      <c r="D203" s="6">
        <f>IF(Table3[[#This Row],[8.3 Attendance in Library per Typical Week]] = "N/A", 0, Table3[[#This Row],[8.3 Attendance in Library per Typical Week]])</f>
        <v>0</v>
      </c>
    </row>
    <row r="204" spans="1:4" ht="15" thickBot="1" x14ac:dyDescent="0.4">
      <c r="A204" s="1" t="s">
        <v>203</v>
      </c>
      <c r="B204" s="3" t="s">
        <v>261</v>
      </c>
      <c r="C204" s="2">
        <v>0</v>
      </c>
      <c r="D204" s="6">
        <f>IF(Table3[[#This Row],[8.3 Attendance in Library per Typical Week]] = "N/A", 0, Table3[[#This Row],[8.3 Attendance in Library per Typical Week]])</f>
        <v>0</v>
      </c>
    </row>
    <row r="205" spans="1:4" ht="15" thickBot="1" x14ac:dyDescent="0.4">
      <c r="A205" s="1" t="s">
        <v>204</v>
      </c>
      <c r="B205" s="3" t="s">
        <v>261</v>
      </c>
      <c r="C205" s="3" t="s">
        <v>258</v>
      </c>
      <c r="D205" s="6">
        <f>IF(Table3[[#This Row],[8.3 Attendance in Library per Typical Week]] = "N/A", 0, Table3[[#This Row],[8.3 Attendance in Library per Typical Week]])</f>
        <v>0</v>
      </c>
    </row>
    <row r="206" spans="1:4" ht="15" thickBot="1" x14ac:dyDescent="0.4">
      <c r="A206" s="1" t="s">
        <v>205</v>
      </c>
      <c r="B206" s="3" t="s">
        <v>261</v>
      </c>
      <c r="C206" s="3" t="s">
        <v>258</v>
      </c>
      <c r="D206" s="6">
        <f>IF(Table3[[#This Row],[8.3 Attendance in Library per Typical Week]] = "N/A", 0, Table3[[#This Row],[8.3 Attendance in Library per Typical Week]])</f>
        <v>0</v>
      </c>
    </row>
    <row r="207" spans="1:4" ht="15" thickBot="1" x14ac:dyDescent="0.4">
      <c r="A207" s="1" t="s">
        <v>206</v>
      </c>
      <c r="B207" s="3" t="s">
        <v>261</v>
      </c>
      <c r="C207" s="2">
        <v>0</v>
      </c>
      <c r="D207" s="6">
        <f>IF(Table3[[#This Row],[8.3 Attendance in Library per Typical Week]] = "N/A", 0, Table3[[#This Row],[8.3 Attendance in Library per Typical Week]])</f>
        <v>0</v>
      </c>
    </row>
    <row r="208" spans="1:4" ht="15" thickBot="1" x14ac:dyDescent="0.4">
      <c r="A208" s="1" t="s">
        <v>207</v>
      </c>
      <c r="B208" s="3" t="s">
        <v>261</v>
      </c>
      <c r="C208" s="3" t="s">
        <v>258</v>
      </c>
      <c r="D208" s="6">
        <f>IF(Table3[[#This Row],[8.3 Attendance in Library per Typical Week]] = "N/A", 0, Table3[[#This Row],[8.3 Attendance in Library per Typical Week]])</f>
        <v>0</v>
      </c>
    </row>
    <row r="209" spans="1:4" ht="15" thickBot="1" x14ac:dyDescent="0.4">
      <c r="A209" s="1" t="s">
        <v>208</v>
      </c>
      <c r="B209" s="3" t="s">
        <v>261</v>
      </c>
      <c r="C209" s="3" t="s">
        <v>258</v>
      </c>
      <c r="D209" s="6">
        <f>IF(Table3[[#This Row],[8.3 Attendance in Library per Typical Week]] = "N/A", 0, Table3[[#This Row],[8.3 Attendance in Library per Typical Week]])</f>
        <v>0</v>
      </c>
    </row>
    <row r="210" spans="1:4" ht="15" thickBot="1" x14ac:dyDescent="0.4">
      <c r="A210" s="1" t="s">
        <v>209</v>
      </c>
      <c r="B210" s="3" t="s">
        <v>261</v>
      </c>
      <c r="C210" s="3" t="s">
        <v>258</v>
      </c>
      <c r="D210" s="6">
        <f>IF(Table3[[#This Row],[8.3 Attendance in Library per Typical Week]] = "N/A", 0, Table3[[#This Row],[8.3 Attendance in Library per Typical Week]])</f>
        <v>0</v>
      </c>
    </row>
    <row r="211" spans="1:4" ht="15" thickBot="1" x14ac:dyDescent="0.4">
      <c r="A211" s="1" t="s">
        <v>210</v>
      </c>
      <c r="B211" s="3" t="s">
        <v>261</v>
      </c>
      <c r="C211" s="3" t="s">
        <v>258</v>
      </c>
      <c r="D211" s="6">
        <f>IF(Table3[[#This Row],[8.3 Attendance in Library per Typical Week]] = "N/A", 0, Table3[[#This Row],[8.3 Attendance in Library per Typical Week]])</f>
        <v>0</v>
      </c>
    </row>
    <row r="212" spans="1:4" ht="15" thickBot="1" x14ac:dyDescent="0.4">
      <c r="A212" s="1" t="s">
        <v>211</v>
      </c>
      <c r="B212" s="3" t="s">
        <v>261</v>
      </c>
      <c r="C212" s="2">
        <v>0</v>
      </c>
      <c r="D212" s="6">
        <f>IF(Table3[[#This Row],[8.3 Attendance in Library per Typical Week]] = "N/A", 0, Table3[[#This Row],[8.3 Attendance in Library per Typical Week]])</f>
        <v>0</v>
      </c>
    </row>
    <row r="213" spans="1:4" ht="15" thickBot="1" x14ac:dyDescent="0.4">
      <c r="A213" s="1" t="s">
        <v>212</v>
      </c>
      <c r="B213" s="3" t="s">
        <v>261</v>
      </c>
      <c r="C213" s="2">
        <v>0</v>
      </c>
      <c r="D213" s="6">
        <f>IF(Table3[[#This Row],[8.3 Attendance in Library per Typical Week]] = "N/A", 0, Table3[[#This Row],[8.3 Attendance in Library per Typical Week]])</f>
        <v>0</v>
      </c>
    </row>
    <row r="214" spans="1:4" ht="15" thickBot="1" x14ac:dyDescent="0.4">
      <c r="A214" s="1" t="s">
        <v>213</v>
      </c>
      <c r="B214" s="3" t="s">
        <v>261</v>
      </c>
      <c r="C214" s="3" t="s">
        <v>258</v>
      </c>
      <c r="D214" s="6">
        <f>IF(Table3[[#This Row],[8.3 Attendance in Library per Typical Week]] = "N/A", 0, Table3[[#This Row],[8.3 Attendance in Library per Typical Week]])</f>
        <v>0</v>
      </c>
    </row>
    <row r="215" spans="1:4" ht="15" thickBot="1" x14ac:dyDescent="0.4">
      <c r="A215" s="1" t="s">
        <v>214</v>
      </c>
      <c r="B215" s="3" t="s">
        <v>261</v>
      </c>
      <c r="C215" s="3" t="s">
        <v>258</v>
      </c>
      <c r="D215" s="6">
        <f>IF(Table3[[#This Row],[8.3 Attendance in Library per Typical Week]] = "N/A", 0, Table3[[#This Row],[8.3 Attendance in Library per Typical Week]])</f>
        <v>0</v>
      </c>
    </row>
    <row r="216" spans="1:4" ht="15" thickBot="1" x14ac:dyDescent="0.4">
      <c r="A216" s="1" t="s">
        <v>215</v>
      </c>
      <c r="B216" s="3" t="s">
        <v>261</v>
      </c>
      <c r="C216" s="3" t="s">
        <v>258</v>
      </c>
      <c r="D216" s="6">
        <f>IF(Table3[[#This Row],[8.3 Attendance in Library per Typical Week]] = "N/A", 0, Table3[[#This Row],[8.3 Attendance in Library per Typical Week]])</f>
        <v>0</v>
      </c>
    </row>
    <row r="217" spans="1:4" ht="15" thickBot="1" x14ac:dyDescent="0.4">
      <c r="A217" s="1" t="s">
        <v>216</v>
      </c>
      <c r="B217" s="2">
        <v>1481</v>
      </c>
      <c r="C217" s="2">
        <v>77012</v>
      </c>
      <c r="D217" s="6">
        <f>IF(Table3[[#This Row],[8.3 Attendance in Library per Typical Week]] = "N/A", 0, Table3[[#This Row],[8.3 Attendance in Library per Typical Week]])</f>
        <v>1481</v>
      </c>
    </row>
    <row r="218" spans="1:4" ht="15" thickBot="1" x14ac:dyDescent="0.4">
      <c r="A218" s="1" t="s">
        <v>217</v>
      </c>
      <c r="B218" s="2">
        <v>1834</v>
      </c>
      <c r="C218" s="2">
        <v>95368</v>
      </c>
      <c r="D218" s="6">
        <f>IF(Table3[[#This Row],[8.3 Attendance in Library per Typical Week]] = "N/A", 0, Table3[[#This Row],[8.3 Attendance in Library per Typical Week]])</f>
        <v>1834</v>
      </c>
    </row>
    <row r="219" spans="1:4" ht="15" thickBot="1" x14ac:dyDescent="0.4">
      <c r="A219" s="1" t="s">
        <v>218</v>
      </c>
      <c r="B219" s="2">
        <v>336</v>
      </c>
      <c r="C219" s="2">
        <v>17472</v>
      </c>
      <c r="D219" s="6">
        <f>IF(Table3[[#This Row],[8.3 Attendance in Library per Typical Week]] = "N/A", 0, Table3[[#This Row],[8.3 Attendance in Library per Typical Week]])</f>
        <v>336</v>
      </c>
    </row>
    <row r="220" spans="1:4" ht="15" thickBot="1" x14ac:dyDescent="0.4">
      <c r="A220" s="1" t="s">
        <v>219</v>
      </c>
      <c r="B220" s="2">
        <v>203</v>
      </c>
      <c r="C220" s="2">
        <v>10556</v>
      </c>
      <c r="D220" s="6">
        <f>IF(Table3[[#This Row],[8.3 Attendance in Library per Typical Week]] = "N/A", 0, Table3[[#This Row],[8.3 Attendance in Library per Typical Week]])</f>
        <v>203</v>
      </c>
    </row>
    <row r="221" spans="1:4" ht="15" thickBot="1" x14ac:dyDescent="0.4">
      <c r="A221" s="1" t="s">
        <v>220</v>
      </c>
      <c r="B221" s="3" t="s">
        <v>261</v>
      </c>
      <c r="C221" s="3" t="s">
        <v>258</v>
      </c>
      <c r="D221" s="6">
        <f>IF(Table3[[#This Row],[8.3 Attendance in Library per Typical Week]] = "N/A", 0, Table3[[#This Row],[8.3 Attendance in Library per Typical Week]])</f>
        <v>0</v>
      </c>
    </row>
    <row r="222" spans="1:4" ht="15" thickBot="1" x14ac:dyDescent="0.4">
      <c r="A222" s="1" t="s">
        <v>221</v>
      </c>
      <c r="B222" s="2">
        <v>970</v>
      </c>
      <c r="C222" s="2">
        <v>50440</v>
      </c>
      <c r="D222" s="6">
        <f>IF(Table3[[#This Row],[8.3 Attendance in Library per Typical Week]] = "N/A", 0, Table3[[#This Row],[8.3 Attendance in Library per Typical Week]])</f>
        <v>970</v>
      </c>
    </row>
    <row r="223" spans="1:4" ht="15" thickBot="1" x14ac:dyDescent="0.4">
      <c r="A223" s="1" t="s">
        <v>222</v>
      </c>
      <c r="B223" s="2">
        <v>20110</v>
      </c>
      <c r="C223" s="2">
        <v>1045720</v>
      </c>
      <c r="D223" s="6">
        <f>IF(Table3[[#This Row],[8.3 Attendance in Library per Typical Week]] = "N/A", 0, Table3[[#This Row],[8.3 Attendance in Library per Typical Week]])</f>
        <v>20110</v>
      </c>
    </row>
    <row r="224" spans="1:4" ht="15" thickBot="1" x14ac:dyDescent="0.4">
      <c r="A224" s="1" t="s">
        <v>223</v>
      </c>
      <c r="B224" s="3" t="s">
        <v>261</v>
      </c>
      <c r="C224" s="3" t="s">
        <v>258</v>
      </c>
      <c r="D224" s="6">
        <f>IF(Table3[[#This Row],[8.3 Attendance in Library per Typical Week]] = "N/A", 0, Table3[[#This Row],[8.3 Attendance in Library per Typical Week]])</f>
        <v>0</v>
      </c>
    </row>
    <row r="225" spans="1:4" ht="15" thickBot="1" x14ac:dyDescent="0.4">
      <c r="A225" s="1" t="s">
        <v>224</v>
      </c>
      <c r="B225" s="3" t="s">
        <v>261</v>
      </c>
      <c r="C225" s="3" t="s">
        <v>258</v>
      </c>
      <c r="D225" s="6">
        <f>IF(Table3[[#This Row],[8.3 Attendance in Library per Typical Week]] = "N/A", 0, Table3[[#This Row],[8.3 Attendance in Library per Typical Week]])</f>
        <v>0</v>
      </c>
    </row>
    <row r="226" spans="1:4" ht="15" thickBot="1" x14ac:dyDescent="0.4">
      <c r="A226" s="1" t="s">
        <v>225</v>
      </c>
      <c r="B226" s="3" t="s">
        <v>261</v>
      </c>
      <c r="C226" s="2">
        <v>0</v>
      </c>
      <c r="D226" s="6">
        <f>IF(Table3[[#This Row],[8.3 Attendance in Library per Typical Week]] = "N/A", 0, Table3[[#This Row],[8.3 Attendance in Library per Typical Week]])</f>
        <v>0</v>
      </c>
    </row>
    <row r="227" spans="1:4" ht="15" thickBot="1" x14ac:dyDescent="0.4">
      <c r="A227" s="1" t="s">
        <v>226</v>
      </c>
      <c r="B227" s="3" t="s">
        <v>261</v>
      </c>
      <c r="C227" s="3" t="s">
        <v>258</v>
      </c>
      <c r="D227" s="6">
        <f>IF(Table3[[#This Row],[8.3 Attendance in Library per Typical Week]] = "N/A", 0, Table3[[#This Row],[8.3 Attendance in Library per Typical Week]])</f>
        <v>0</v>
      </c>
    </row>
    <row r="228" spans="1:4" ht="15" thickBot="1" x14ac:dyDescent="0.4">
      <c r="A228" s="1" t="s">
        <v>227</v>
      </c>
      <c r="B228" s="3" t="s">
        <v>261</v>
      </c>
      <c r="C228" s="3" t="s">
        <v>258</v>
      </c>
      <c r="D228" s="6">
        <f>IF(Table3[[#This Row],[8.3 Attendance in Library per Typical Week]] = "N/A", 0, Table3[[#This Row],[8.3 Attendance in Library per Typical Week]])</f>
        <v>0</v>
      </c>
    </row>
    <row r="229" spans="1:4" ht="15" thickBot="1" x14ac:dyDescent="0.4">
      <c r="A229" s="1" t="s">
        <v>228</v>
      </c>
      <c r="B229" s="2">
        <v>1069</v>
      </c>
      <c r="C229" s="2">
        <v>55588</v>
      </c>
      <c r="D229" s="6">
        <f>IF(Table3[[#This Row],[8.3 Attendance in Library per Typical Week]] = "N/A", 0, Table3[[#This Row],[8.3 Attendance in Library per Typical Week]])</f>
        <v>1069</v>
      </c>
    </row>
    <row r="230" spans="1:4" ht="15" thickBot="1" x14ac:dyDescent="0.4">
      <c r="A230" s="1" t="s">
        <v>229</v>
      </c>
      <c r="B230" s="3" t="s">
        <v>261</v>
      </c>
      <c r="C230" s="3" t="s">
        <v>258</v>
      </c>
      <c r="D230" s="6">
        <f>IF(Table3[[#This Row],[8.3 Attendance in Library per Typical Week]] = "N/A", 0, Table3[[#This Row],[8.3 Attendance in Library per Typical Week]])</f>
        <v>0</v>
      </c>
    </row>
    <row r="231" spans="1:4" ht="15" thickBot="1" x14ac:dyDescent="0.4">
      <c r="A231" s="1" t="s">
        <v>230</v>
      </c>
      <c r="B231" s="2">
        <v>194</v>
      </c>
      <c r="C231" s="2">
        <v>10088</v>
      </c>
      <c r="D231" s="6">
        <f>IF(Table3[[#This Row],[8.3 Attendance in Library per Typical Week]] = "N/A", 0, Table3[[#This Row],[8.3 Attendance in Library per Typical Week]])</f>
        <v>194</v>
      </c>
    </row>
    <row r="232" spans="1:4" ht="15" thickBot="1" x14ac:dyDescent="0.4">
      <c r="A232" s="1" t="s">
        <v>231</v>
      </c>
      <c r="B232" s="3" t="s">
        <v>261</v>
      </c>
      <c r="C232" s="3" t="s">
        <v>258</v>
      </c>
      <c r="D232" s="6">
        <f>IF(Table3[[#This Row],[8.3 Attendance in Library per Typical Week]] = "N/A", 0, Table3[[#This Row],[8.3 Attendance in Library per Typical Week]])</f>
        <v>0</v>
      </c>
    </row>
    <row r="233" spans="1:4" ht="15" thickBot="1" x14ac:dyDescent="0.4">
      <c r="A233" s="1" t="s">
        <v>232</v>
      </c>
      <c r="B233" s="3" t="s">
        <v>261</v>
      </c>
      <c r="C233" s="3" t="s">
        <v>258</v>
      </c>
      <c r="D233" s="6">
        <f>IF(Table3[[#This Row],[8.3 Attendance in Library per Typical Week]] = "N/A", 0, Table3[[#This Row],[8.3 Attendance in Library per Typical Week]])</f>
        <v>0</v>
      </c>
    </row>
    <row r="234" spans="1:4" ht="15" thickBot="1" x14ac:dyDescent="0.4">
      <c r="A234" s="1" t="s">
        <v>233</v>
      </c>
      <c r="B234" s="3" t="s">
        <v>261</v>
      </c>
      <c r="C234" s="3" t="s">
        <v>258</v>
      </c>
      <c r="D234" s="6">
        <f>IF(Table3[[#This Row],[8.3 Attendance in Library per Typical Week]] = "N/A", 0, Table3[[#This Row],[8.3 Attendance in Library per Typical Week]])</f>
        <v>0</v>
      </c>
    </row>
    <row r="235" spans="1:4" ht="15" thickBot="1" x14ac:dyDescent="0.4">
      <c r="A235" s="1" t="s">
        <v>234</v>
      </c>
      <c r="B235" s="3" t="s">
        <v>261</v>
      </c>
      <c r="C235" s="3" t="s">
        <v>258</v>
      </c>
      <c r="D235" s="6">
        <f>IF(Table3[[#This Row],[8.3 Attendance in Library per Typical Week]] = "N/A", 0, Table3[[#This Row],[8.3 Attendance in Library per Typical Week]])</f>
        <v>0</v>
      </c>
    </row>
    <row r="236" spans="1:4" ht="15" thickBot="1" x14ac:dyDescent="0.4">
      <c r="A236" s="1" t="s">
        <v>235</v>
      </c>
      <c r="B236" s="2">
        <v>3815</v>
      </c>
      <c r="C236" s="2">
        <v>198380</v>
      </c>
      <c r="D236" s="6">
        <f>IF(Table3[[#This Row],[8.3 Attendance in Library per Typical Week]] = "N/A", 0, Table3[[#This Row],[8.3 Attendance in Library per Typical Week]])</f>
        <v>3815</v>
      </c>
    </row>
    <row r="237" spans="1:4" ht="15" thickBot="1" x14ac:dyDescent="0.4">
      <c r="A237" s="1" t="s">
        <v>236</v>
      </c>
      <c r="B237" s="3" t="s">
        <v>261</v>
      </c>
      <c r="C237" s="3" t="s">
        <v>258</v>
      </c>
      <c r="D237" s="6">
        <f>IF(Table3[[#This Row],[8.3 Attendance in Library per Typical Week]] = "N/A", 0, Table3[[#This Row],[8.3 Attendance in Library per Typical Week]])</f>
        <v>0</v>
      </c>
    </row>
    <row r="238" spans="1:4" ht="15" thickBot="1" x14ac:dyDescent="0.4">
      <c r="A238" s="1" t="s">
        <v>237</v>
      </c>
      <c r="B238" s="3" t="s">
        <v>261</v>
      </c>
      <c r="C238" s="3" t="s">
        <v>258</v>
      </c>
      <c r="D238" s="6">
        <f>IF(Table3[[#This Row],[8.3 Attendance in Library per Typical Week]] = "N/A", 0, Table3[[#This Row],[8.3 Attendance in Library per Typical Week]])</f>
        <v>0</v>
      </c>
    </row>
    <row r="239" spans="1:4" ht="15" thickBot="1" x14ac:dyDescent="0.4">
      <c r="A239" s="1" t="s">
        <v>238</v>
      </c>
      <c r="B239" s="3" t="s">
        <v>261</v>
      </c>
      <c r="C239" s="3" t="s">
        <v>258</v>
      </c>
      <c r="D239" s="6">
        <f>IF(Table3[[#This Row],[8.3 Attendance in Library per Typical Week]] = "N/A", 0, Table3[[#This Row],[8.3 Attendance in Library per Typical Week]])</f>
        <v>0</v>
      </c>
    </row>
    <row r="240" spans="1:4" ht="15" thickBot="1" x14ac:dyDescent="0.4">
      <c r="A240" s="1" t="s">
        <v>239</v>
      </c>
      <c r="B240" s="3" t="s">
        <v>261</v>
      </c>
      <c r="C240" s="3" t="s">
        <v>258</v>
      </c>
      <c r="D240" s="6">
        <f>IF(Table3[[#This Row],[8.3 Attendance in Library per Typical Week]] = "N/A", 0, Table3[[#This Row],[8.3 Attendance in Library per Typical Week]])</f>
        <v>0</v>
      </c>
    </row>
    <row r="241" spans="1:4" ht="15" thickBot="1" x14ac:dyDescent="0.4">
      <c r="A241" s="1" t="s">
        <v>240</v>
      </c>
      <c r="B241" s="3" t="s">
        <v>261</v>
      </c>
      <c r="C241" s="3" t="s">
        <v>258</v>
      </c>
      <c r="D241" s="6">
        <f>IF(Table3[[#This Row],[8.3 Attendance in Library per Typical Week]] = "N/A", 0, Table3[[#This Row],[8.3 Attendance in Library per Typical Week]])</f>
        <v>0</v>
      </c>
    </row>
    <row r="242" spans="1:4" ht="15" thickBot="1" x14ac:dyDescent="0.4">
      <c r="A242" s="1" t="s">
        <v>241</v>
      </c>
      <c r="B242" s="2">
        <v>94</v>
      </c>
      <c r="C242" s="2">
        <v>4888</v>
      </c>
      <c r="D242" s="6">
        <f>IF(Table3[[#This Row],[8.3 Attendance in Library per Typical Week]] = "N/A", 0, Table3[[#This Row],[8.3 Attendance in Library per Typical Week]])</f>
        <v>94</v>
      </c>
    </row>
    <row r="243" spans="1:4" ht="15" thickBot="1" x14ac:dyDescent="0.4">
      <c r="A243" s="1" t="s">
        <v>242</v>
      </c>
      <c r="B243" s="2">
        <v>1471</v>
      </c>
      <c r="C243" s="2">
        <v>76492</v>
      </c>
      <c r="D243" s="6">
        <f>IF(Table3[[#This Row],[8.3 Attendance in Library per Typical Week]] = "N/A", 0, Table3[[#This Row],[8.3 Attendance in Library per Typical Week]])</f>
        <v>1471</v>
      </c>
    </row>
    <row r="244" spans="1:4" ht="15" thickBot="1" x14ac:dyDescent="0.4">
      <c r="A244" s="1" t="s">
        <v>243</v>
      </c>
      <c r="B244" s="3" t="s">
        <v>261</v>
      </c>
      <c r="C244" s="3" t="s">
        <v>258</v>
      </c>
      <c r="D244" s="6">
        <f>IF(Table3[[#This Row],[8.3 Attendance in Library per Typical Week]] = "N/A", 0, Table3[[#This Row],[8.3 Attendance in Library per Typical Week]])</f>
        <v>0</v>
      </c>
    </row>
    <row r="245" spans="1:4" ht="15" thickBot="1" x14ac:dyDescent="0.4">
      <c r="A245" s="1" t="s">
        <v>244</v>
      </c>
      <c r="B245" s="3" t="s">
        <v>261</v>
      </c>
      <c r="C245" s="3" t="s">
        <v>258</v>
      </c>
      <c r="D245" s="6">
        <f>IF(Table3[[#This Row],[8.3 Attendance in Library per Typical Week]] = "N/A", 0, Table3[[#This Row],[8.3 Attendance in Library per Typical Week]])</f>
        <v>0</v>
      </c>
    </row>
    <row r="246" spans="1:4" ht="15" thickBot="1" x14ac:dyDescent="0.4">
      <c r="A246" s="1" t="s">
        <v>245</v>
      </c>
      <c r="B246" s="3" t="s">
        <v>261</v>
      </c>
      <c r="C246" s="3" t="s">
        <v>258</v>
      </c>
      <c r="D246" s="6">
        <f>IF(Table3[[#This Row],[8.3 Attendance in Library per Typical Week]] = "N/A", 0, Table3[[#This Row],[8.3 Attendance in Library per Typical Week]])</f>
        <v>0</v>
      </c>
    </row>
    <row r="247" spans="1:4" ht="15" thickBot="1" x14ac:dyDescent="0.4">
      <c r="A247" s="1" t="s">
        <v>246</v>
      </c>
      <c r="B247" s="2">
        <v>1451</v>
      </c>
      <c r="C247" s="2">
        <v>75452</v>
      </c>
      <c r="D247" s="6">
        <f>IF(Table3[[#This Row],[8.3 Attendance in Library per Typical Week]] = "N/A", 0, Table3[[#This Row],[8.3 Attendance in Library per Typical Week]])</f>
        <v>1451</v>
      </c>
    </row>
    <row r="248" spans="1:4" ht="15" thickBot="1" x14ac:dyDescent="0.4">
      <c r="A248" s="1" t="s">
        <v>247</v>
      </c>
      <c r="B248" s="2">
        <v>110</v>
      </c>
      <c r="C248" s="2">
        <v>5720</v>
      </c>
      <c r="D248" s="6">
        <f>IF(Table3[[#This Row],[8.3 Attendance in Library per Typical Week]] = "N/A", 0, Table3[[#This Row],[8.3 Attendance in Library per Typical Week]])</f>
        <v>110</v>
      </c>
    </row>
    <row r="249" spans="1:4" ht="15" thickBot="1" x14ac:dyDescent="0.4">
      <c r="A249" s="1" t="s">
        <v>248</v>
      </c>
      <c r="B249" s="3" t="s">
        <v>261</v>
      </c>
      <c r="C249" s="3" t="s">
        <v>258</v>
      </c>
      <c r="D249" s="6">
        <f>IF(Table3[[#This Row],[8.3 Attendance in Library per Typical Week]] = "N/A", 0, Table3[[#This Row],[8.3 Attendance in Library per Typical Week]])</f>
        <v>0</v>
      </c>
    </row>
    <row r="250" spans="1:4" ht="15" thickBot="1" x14ac:dyDescent="0.4">
      <c r="A250" s="1" t="s">
        <v>249</v>
      </c>
      <c r="B250" s="3" t="s">
        <v>261</v>
      </c>
      <c r="C250" s="3" t="s">
        <v>258</v>
      </c>
      <c r="D250" s="6">
        <f>IF(Table3[[#This Row],[8.3 Attendance in Library per Typical Week]] = "N/A", 0, Table3[[#This Row],[8.3 Attendance in Library per Typical Week]])</f>
        <v>0</v>
      </c>
    </row>
    <row r="251" spans="1:4" ht="15" thickBot="1" x14ac:dyDescent="0.4">
      <c r="A251" s="1" t="s">
        <v>250</v>
      </c>
      <c r="B251" s="3" t="s">
        <v>261</v>
      </c>
      <c r="C251" s="3" t="s">
        <v>258</v>
      </c>
      <c r="D251" s="6">
        <f>IF(Table3[[#This Row],[8.3 Attendance in Library per Typical Week]] = "N/A", 0, Table3[[#This Row],[8.3 Attendance in Library per Typical Week]])</f>
        <v>0</v>
      </c>
    </row>
    <row r="252" spans="1:4" ht="15" thickBot="1" x14ac:dyDescent="0.4">
      <c r="A252" s="1" t="s">
        <v>251</v>
      </c>
      <c r="B252" s="3" t="s">
        <v>261</v>
      </c>
      <c r="C252" s="3" t="s">
        <v>258</v>
      </c>
      <c r="D252" s="6">
        <f>IF(Table3[[#This Row],[8.3 Attendance in Library per Typical Week]] = "N/A", 0, Table3[[#This Row],[8.3 Attendance in Library per Typical Week]])</f>
        <v>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269AB-4A41-4379-A582-C951614C31D7}">
  <sheetPr codeName="Sheet4"/>
  <dimension ref="A1:B252"/>
  <sheetViews>
    <sheetView workbookViewId="0">
      <selection activeCell="I28" sqref="I28"/>
    </sheetView>
  </sheetViews>
  <sheetFormatPr defaultRowHeight="14.5" x14ac:dyDescent="0.35"/>
  <cols>
    <col min="1" max="1" width="21.81640625" customWidth="1"/>
    <col min="2" max="2" width="46.7265625" customWidth="1"/>
  </cols>
  <sheetData>
    <row r="1" spans="1:2" ht="15" thickBot="1" x14ac:dyDescent="0.4">
      <c r="A1" s="4" t="s">
        <v>0</v>
      </c>
      <c r="B1" s="4" t="s">
        <v>257</v>
      </c>
    </row>
    <row r="2" spans="1:2" ht="15" thickBot="1" x14ac:dyDescent="0.4">
      <c r="A2" s="1" t="s">
        <v>1</v>
      </c>
      <c r="B2" s="2">
        <v>8</v>
      </c>
    </row>
    <row r="3" spans="1:2" ht="15" thickBot="1" x14ac:dyDescent="0.4">
      <c r="A3" s="1" t="s">
        <v>2</v>
      </c>
      <c r="B3" s="2">
        <v>62</v>
      </c>
    </row>
    <row r="4" spans="1:2" ht="15" thickBot="1" x14ac:dyDescent="0.4">
      <c r="A4" s="1" t="s">
        <v>3</v>
      </c>
      <c r="B4" s="2">
        <v>459</v>
      </c>
    </row>
    <row r="5" spans="1:2" ht="15" thickBot="1" x14ac:dyDescent="0.4">
      <c r="A5" s="1" t="s">
        <v>4</v>
      </c>
      <c r="B5" s="2">
        <v>6</v>
      </c>
    </row>
    <row r="6" spans="1:2" ht="15" thickBot="1" x14ac:dyDescent="0.4">
      <c r="A6" s="1" t="s">
        <v>5</v>
      </c>
      <c r="B6" s="2">
        <v>3</v>
      </c>
    </row>
    <row r="7" spans="1:2" ht="15" thickBot="1" x14ac:dyDescent="0.4">
      <c r="A7" s="1" t="s">
        <v>6</v>
      </c>
      <c r="B7" s="2">
        <v>18</v>
      </c>
    </row>
    <row r="8" spans="1:2" ht="15" thickBot="1" x14ac:dyDescent="0.4">
      <c r="A8" s="1" t="s">
        <v>7</v>
      </c>
      <c r="B8" s="2">
        <v>5</v>
      </c>
    </row>
    <row r="9" spans="1:2" ht="15" thickBot="1" x14ac:dyDescent="0.4">
      <c r="A9" s="1" t="s">
        <v>8</v>
      </c>
      <c r="B9" s="2">
        <v>6</v>
      </c>
    </row>
    <row r="10" spans="1:2" ht="15" thickBot="1" x14ac:dyDescent="0.4">
      <c r="A10" s="1" t="s">
        <v>9</v>
      </c>
      <c r="B10" s="2">
        <v>6</v>
      </c>
    </row>
    <row r="11" spans="1:2" ht="15" thickBot="1" x14ac:dyDescent="0.4">
      <c r="A11" s="1" t="s">
        <v>10</v>
      </c>
      <c r="B11" s="2">
        <v>18</v>
      </c>
    </row>
    <row r="12" spans="1:2" ht="15" thickBot="1" x14ac:dyDescent="0.4">
      <c r="A12" s="1" t="s">
        <v>11</v>
      </c>
      <c r="B12" s="2">
        <v>53</v>
      </c>
    </row>
    <row r="13" spans="1:2" ht="15" thickBot="1" x14ac:dyDescent="0.4">
      <c r="A13" s="1" t="s">
        <v>12</v>
      </c>
      <c r="B13" s="2">
        <v>84</v>
      </c>
    </row>
    <row r="14" spans="1:2" ht="15" thickBot="1" x14ac:dyDescent="0.4">
      <c r="A14" s="1" t="s">
        <v>13</v>
      </c>
      <c r="B14" s="2">
        <v>29</v>
      </c>
    </row>
    <row r="15" spans="1:2" ht="15" thickBot="1" x14ac:dyDescent="0.4">
      <c r="A15" s="1" t="s">
        <v>14</v>
      </c>
      <c r="B15" s="2">
        <v>7</v>
      </c>
    </row>
    <row r="16" spans="1:2" ht="15" thickBot="1" x14ac:dyDescent="0.4">
      <c r="A16" s="1" t="s">
        <v>15</v>
      </c>
      <c r="B16" s="2">
        <v>16</v>
      </c>
    </row>
    <row r="17" spans="1:2" ht="15" thickBot="1" x14ac:dyDescent="0.4">
      <c r="A17" s="1" t="s">
        <v>16</v>
      </c>
      <c r="B17" s="2">
        <v>18</v>
      </c>
    </row>
    <row r="18" spans="1:2" ht="15" thickBot="1" x14ac:dyDescent="0.4">
      <c r="A18" s="1" t="s">
        <v>17</v>
      </c>
      <c r="B18" s="2">
        <v>7</v>
      </c>
    </row>
    <row r="19" spans="1:2" ht="15" thickBot="1" x14ac:dyDescent="0.4">
      <c r="A19" s="1" t="s">
        <v>18</v>
      </c>
      <c r="B19" s="2">
        <v>4</v>
      </c>
    </row>
    <row r="20" spans="1:2" ht="15" thickBot="1" x14ac:dyDescent="0.4">
      <c r="A20" s="1" t="s">
        <v>19</v>
      </c>
      <c r="B20" s="2">
        <v>7</v>
      </c>
    </row>
    <row r="21" spans="1:2" ht="15" thickBot="1" x14ac:dyDescent="0.4">
      <c r="A21" s="1" t="s">
        <v>20</v>
      </c>
      <c r="B21" s="2">
        <v>17</v>
      </c>
    </row>
    <row r="22" spans="1:2" ht="15" thickBot="1" x14ac:dyDescent="0.4">
      <c r="A22" s="1" t="s">
        <v>21</v>
      </c>
      <c r="B22" s="2">
        <v>10</v>
      </c>
    </row>
    <row r="23" spans="1:2" ht="15" thickBot="1" x14ac:dyDescent="0.4">
      <c r="A23" s="1" t="s">
        <v>22</v>
      </c>
      <c r="B23" s="2">
        <v>38</v>
      </c>
    </row>
    <row r="24" spans="1:2" ht="15" thickBot="1" x14ac:dyDescent="0.4">
      <c r="A24" s="1" t="s">
        <v>23</v>
      </c>
      <c r="B24" s="2">
        <v>22</v>
      </c>
    </row>
    <row r="25" spans="1:2" ht="15" thickBot="1" x14ac:dyDescent="0.4">
      <c r="A25" s="1" t="s">
        <v>24</v>
      </c>
      <c r="B25" s="2">
        <v>16</v>
      </c>
    </row>
    <row r="26" spans="1:2" ht="15" thickBot="1" x14ac:dyDescent="0.4">
      <c r="A26" s="1" t="s">
        <v>25</v>
      </c>
      <c r="B26" s="2">
        <v>2</v>
      </c>
    </row>
    <row r="27" spans="1:2" ht="15" thickBot="1" x14ac:dyDescent="0.4">
      <c r="A27" s="1" t="s">
        <v>26</v>
      </c>
      <c r="B27" s="2">
        <v>10</v>
      </c>
    </row>
    <row r="28" spans="1:2" ht="15" thickBot="1" x14ac:dyDescent="0.4">
      <c r="A28" s="1" t="s">
        <v>27</v>
      </c>
      <c r="B28" s="2">
        <v>3</v>
      </c>
    </row>
    <row r="29" spans="1:2" ht="15" thickBot="1" x14ac:dyDescent="0.4">
      <c r="A29" s="1" t="s">
        <v>28</v>
      </c>
      <c r="B29" s="2">
        <v>11</v>
      </c>
    </row>
    <row r="30" spans="1:2" ht="15" thickBot="1" x14ac:dyDescent="0.4">
      <c r="A30" s="1" t="s">
        <v>29</v>
      </c>
      <c r="B30" s="2">
        <v>29</v>
      </c>
    </row>
    <row r="31" spans="1:2" ht="15" thickBot="1" x14ac:dyDescent="0.4">
      <c r="A31" s="1" t="s">
        <v>30</v>
      </c>
      <c r="B31" s="2">
        <v>7</v>
      </c>
    </row>
    <row r="32" spans="1:2" ht="15" thickBot="1" x14ac:dyDescent="0.4">
      <c r="A32" s="1" t="s">
        <v>31</v>
      </c>
      <c r="B32" s="2">
        <v>22</v>
      </c>
    </row>
    <row r="33" spans="1:2" ht="15" thickBot="1" x14ac:dyDescent="0.4">
      <c r="A33" s="1" t="s">
        <v>32</v>
      </c>
      <c r="B33" s="2">
        <v>2</v>
      </c>
    </row>
    <row r="34" spans="1:2" ht="15" thickBot="1" x14ac:dyDescent="0.4">
      <c r="A34" s="1" t="s">
        <v>33</v>
      </c>
      <c r="B34" s="2">
        <v>20</v>
      </c>
    </row>
    <row r="35" spans="1:2" ht="15" thickBot="1" x14ac:dyDescent="0.4">
      <c r="A35" s="1" t="s">
        <v>34</v>
      </c>
      <c r="B35" s="2">
        <v>10</v>
      </c>
    </row>
    <row r="36" spans="1:2" ht="15" thickBot="1" x14ac:dyDescent="0.4">
      <c r="A36" s="1" t="s">
        <v>35</v>
      </c>
      <c r="B36" s="2">
        <v>6</v>
      </c>
    </row>
    <row r="37" spans="1:2" ht="15" thickBot="1" x14ac:dyDescent="0.4">
      <c r="A37" s="1" t="s">
        <v>36</v>
      </c>
      <c r="B37" s="2">
        <v>3</v>
      </c>
    </row>
    <row r="38" spans="1:2" ht="15" thickBot="1" x14ac:dyDescent="0.4">
      <c r="A38" s="1" t="s">
        <v>37</v>
      </c>
      <c r="B38" s="2">
        <v>16</v>
      </c>
    </row>
    <row r="39" spans="1:2" ht="15" thickBot="1" x14ac:dyDescent="0.4">
      <c r="A39" s="1" t="s">
        <v>38</v>
      </c>
      <c r="B39" s="2">
        <v>12</v>
      </c>
    </row>
    <row r="40" spans="1:2" ht="15" thickBot="1" x14ac:dyDescent="0.4">
      <c r="A40" s="1" t="s">
        <v>39</v>
      </c>
      <c r="B40" s="2">
        <v>4</v>
      </c>
    </row>
    <row r="41" spans="1:2" ht="15" thickBot="1" x14ac:dyDescent="0.4">
      <c r="A41" s="1" t="s">
        <v>40</v>
      </c>
      <c r="B41" s="2">
        <v>24</v>
      </c>
    </row>
    <row r="42" spans="1:2" ht="15" thickBot="1" x14ac:dyDescent="0.4">
      <c r="A42" s="1" t="s">
        <v>41</v>
      </c>
      <c r="B42" s="2">
        <v>12</v>
      </c>
    </row>
    <row r="43" spans="1:2" ht="15" thickBot="1" x14ac:dyDescent="0.4">
      <c r="A43" s="1" t="s">
        <v>42</v>
      </c>
      <c r="B43" s="2">
        <v>6</v>
      </c>
    </row>
    <row r="44" spans="1:2" ht="15" thickBot="1" x14ac:dyDescent="0.4">
      <c r="A44" s="1" t="s">
        <v>43</v>
      </c>
      <c r="B44" s="2">
        <v>10</v>
      </c>
    </row>
    <row r="45" spans="1:2" ht="15" thickBot="1" x14ac:dyDescent="0.4">
      <c r="A45" s="1" t="s">
        <v>44</v>
      </c>
      <c r="B45" s="2">
        <v>49</v>
      </c>
    </row>
    <row r="46" spans="1:2" ht="15" thickBot="1" x14ac:dyDescent="0.4">
      <c r="A46" s="1" t="s">
        <v>45</v>
      </c>
      <c r="B46" s="2">
        <v>318</v>
      </c>
    </row>
    <row r="47" spans="1:2" ht="15" thickBot="1" x14ac:dyDescent="0.4">
      <c r="A47" s="1" t="s">
        <v>46</v>
      </c>
      <c r="B47" s="2">
        <v>14</v>
      </c>
    </row>
    <row r="48" spans="1:2" ht="15" thickBot="1" x14ac:dyDescent="0.4">
      <c r="A48" s="1" t="s">
        <v>47</v>
      </c>
      <c r="B48" s="2">
        <v>19</v>
      </c>
    </row>
    <row r="49" spans="1:2" ht="15" thickBot="1" x14ac:dyDescent="0.4">
      <c r="A49" s="1" t="s">
        <v>48</v>
      </c>
      <c r="B49" s="2">
        <v>132</v>
      </c>
    </row>
    <row r="50" spans="1:2" ht="15" thickBot="1" x14ac:dyDescent="0.4">
      <c r="A50" s="1" t="s">
        <v>49</v>
      </c>
      <c r="B50" s="2">
        <v>153</v>
      </c>
    </row>
    <row r="51" spans="1:2" ht="15" thickBot="1" x14ac:dyDescent="0.4">
      <c r="A51" s="1" t="s">
        <v>50</v>
      </c>
      <c r="B51" s="3" t="s">
        <v>258</v>
      </c>
    </row>
    <row r="52" spans="1:2" ht="15" thickBot="1" x14ac:dyDescent="0.4">
      <c r="A52" s="1" t="s">
        <v>51</v>
      </c>
      <c r="B52" s="2">
        <v>7</v>
      </c>
    </row>
    <row r="53" spans="1:2" ht="15" thickBot="1" x14ac:dyDescent="0.4">
      <c r="A53" s="1" t="s">
        <v>52</v>
      </c>
      <c r="B53" s="2">
        <v>7</v>
      </c>
    </row>
    <row r="54" spans="1:2" ht="15" thickBot="1" x14ac:dyDescent="0.4">
      <c r="A54" s="1" t="s">
        <v>53</v>
      </c>
      <c r="B54" s="2">
        <v>5</v>
      </c>
    </row>
    <row r="55" spans="1:2" ht="15" thickBot="1" x14ac:dyDescent="0.4">
      <c r="A55" s="1" t="s">
        <v>54</v>
      </c>
      <c r="B55" s="2">
        <v>222</v>
      </c>
    </row>
    <row r="56" spans="1:2" ht="15" thickBot="1" x14ac:dyDescent="0.4">
      <c r="A56" s="1" t="s">
        <v>55</v>
      </c>
      <c r="B56" s="2">
        <v>24</v>
      </c>
    </row>
    <row r="57" spans="1:2" ht="15" thickBot="1" x14ac:dyDescent="0.4">
      <c r="A57" s="1" t="s">
        <v>56</v>
      </c>
      <c r="B57" s="2">
        <v>21</v>
      </c>
    </row>
    <row r="58" spans="1:2" ht="15" thickBot="1" x14ac:dyDescent="0.4">
      <c r="A58" s="1" t="s">
        <v>57</v>
      </c>
      <c r="B58" s="2">
        <v>24</v>
      </c>
    </row>
    <row r="59" spans="1:2" ht="15" thickBot="1" x14ac:dyDescent="0.4">
      <c r="A59" s="1" t="s">
        <v>58</v>
      </c>
      <c r="B59" s="2">
        <v>810</v>
      </c>
    </row>
    <row r="60" spans="1:2" ht="15" thickBot="1" x14ac:dyDescent="0.4">
      <c r="A60" s="1" t="s">
        <v>59</v>
      </c>
      <c r="B60" s="2">
        <v>25</v>
      </c>
    </row>
    <row r="61" spans="1:2" ht="15" thickBot="1" x14ac:dyDescent="0.4">
      <c r="A61" s="1" t="s">
        <v>60</v>
      </c>
      <c r="B61" s="2">
        <v>463</v>
      </c>
    </row>
    <row r="62" spans="1:2" ht="15" thickBot="1" x14ac:dyDescent="0.4">
      <c r="A62" s="1" t="s">
        <v>61</v>
      </c>
      <c r="B62" s="2">
        <v>21</v>
      </c>
    </row>
    <row r="63" spans="1:2" ht="15" thickBot="1" x14ac:dyDescent="0.4">
      <c r="A63" s="1" t="s">
        <v>62</v>
      </c>
      <c r="B63" s="2">
        <v>30</v>
      </c>
    </row>
    <row r="64" spans="1:2" ht="15" thickBot="1" x14ac:dyDescent="0.4">
      <c r="A64" s="1" t="s">
        <v>63</v>
      </c>
      <c r="B64" s="2">
        <v>3</v>
      </c>
    </row>
    <row r="65" spans="1:2" ht="15" thickBot="1" x14ac:dyDescent="0.4">
      <c r="A65" s="1" t="s">
        <v>64</v>
      </c>
      <c r="B65" s="2">
        <v>9</v>
      </c>
    </row>
    <row r="66" spans="1:2" ht="15" thickBot="1" x14ac:dyDescent="0.4">
      <c r="A66" s="1" t="s">
        <v>65</v>
      </c>
      <c r="B66" s="2">
        <v>6</v>
      </c>
    </row>
    <row r="67" spans="1:2" ht="15" thickBot="1" x14ac:dyDescent="0.4">
      <c r="A67" s="1" t="s">
        <v>66</v>
      </c>
      <c r="B67" s="2">
        <v>20</v>
      </c>
    </row>
    <row r="68" spans="1:2" ht="15" thickBot="1" x14ac:dyDescent="0.4">
      <c r="A68" s="1" t="s">
        <v>67</v>
      </c>
      <c r="B68" s="2">
        <v>4</v>
      </c>
    </row>
    <row r="69" spans="1:2" ht="15" thickBot="1" x14ac:dyDescent="0.4">
      <c r="A69" s="1" t="s">
        <v>68</v>
      </c>
      <c r="B69" s="2">
        <v>4</v>
      </c>
    </row>
    <row r="70" spans="1:2" ht="15" thickBot="1" x14ac:dyDescent="0.4">
      <c r="A70" s="1" t="s">
        <v>69</v>
      </c>
      <c r="B70" s="2">
        <v>80</v>
      </c>
    </row>
    <row r="71" spans="1:2" ht="15" thickBot="1" x14ac:dyDescent="0.4">
      <c r="A71" s="1" t="s">
        <v>70</v>
      </c>
      <c r="B71" s="2">
        <v>10</v>
      </c>
    </row>
    <row r="72" spans="1:2" ht="15" thickBot="1" x14ac:dyDescent="0.4">
      <c r="A72" s="1" t="s">
        <v>71</v>
      </c>
      <c r="B72" s="2">
        <v>48</v>
      </c>
    </row>
    <row r="73" spans="1:2" ht="15" thickBot="1" x14ac:dyDescent="0.4">
      <c r="A73" s="1" t="s">
        <v>72</v>
      </c>
      <c r="B73" s="2">
        <v>91</v>
      </c>
    </row>
    <row r="74" spans="1:2" ht="15" thickBot="1" x14ac:dyDescent="0.4">
      <c r="A74" s="1" t="s">
        <v>73</v>
      </c>
      <c r="B74" s="2">
        <v>2</v>
      </c>
    </row>
    <row r="75" spans="1:2" ht="15" thickBot="1" x14ac:dyDescent="0.4">
      <c r="A75" s="1" t="s">
        <v>74</v>
      </c>
      <c r="B75" s="2">
        <v>22</v>
      </c>
    </row>
    <row r="76" spans="1:2" ht="15" thickBot="1" x14ac:dyDescent="0.4">
      <c r="A76" s="1" t="s">
        <v>75</v>
      </c>
      <c r="B76" s="2">
        <v>4</v>
      </c>
    </row>
    <row r="77" spans="1:2" ht="15" thickBot="1" x14ac:dyDescent="0.4">
      <c r="A77" s="1" t="s">
        <v>76</v>
      </c>
      <c r="B77" s="2">
        <v>14</v>
      </c>
    </row>
    <row r="78" spans="1:2" ht="15" thickBot="1" x14ac:dyDescent="0.4">
      <c r="A78" s="1" t="s">
        <v>77</v>
      </c>
      <c r="B78" s="2">
        <v>7</v>
      </c>
    </row>
    <row r="79" spans="1:2" ht="15" thickBot="1" x14ac:dyDescent="0.4">
      <c r="A79" s="1" t="s">
        <v>78</v>
      </c>
      <c r="B79" s="2">
        <v>6</v>
      </c>
    </row>
    <row r="80" spans="1:2" ht="15" thickBot="1" x14ac:dyDescent="0.4">
      <c r="A80" s="1" t="s">
        <v>79</v>
      </c>
      <c r="B80" s="2">
        <v>16</v>
      </c>
    </row>
    <row r="81" spans="1:2" ht="15" thickBot="1" x14ac:dyDescent="0.4">
      <c r="A81" s="1" t="s">
        <v>80</v>
      </c>
      <c r="B81" s="2">
        <v>6</v>
      </c>
    </row>
    <row r="82" spans="1:2" ht="15" thickBot="1" x14ac:dyDescent="0.4">
      <c r="A82" s="1" t="s">
        <v>81</v>
      </c>
      <c r="B82" s="2">
        <v>12</v>
      </c>
    </row>
    <row r="83" spans="1:2" ht="15" thickBot="1" x14ac:dyDescent="0.4">
      <c r="A83" s="1" t="s">
        <v>82</v>
      </c>
      <c r="B83" s="2">
        <v>58</v>
      </c>
    </row>
    <row r="84" spans="1:2" ht="15" thickBot="1" x14ac:dyDescent="0.4">
      <c r="A84" s="1" t="s">
        <v>83</v>
      </c>
      <c r="B84" s="2">
        <v>18</v>
      </c>
    </row>
    <row r="85" spans="1:2" ht="15" thickBot="1" x14ac:dyDescent="0.4">
      <c r="A85" s="1" t="s">
        <v>84</v>
      </c>
      <c r="B85" s="2">
        <v>9</v>
      </c>
    </row>
    <row r="86" spans="1:2" ht="15" thickBot="1" x14ac:dyDescent="0.4">
      <c r="A86" s="1" t="s">
        <v>85</v>
      </c>
      <c r="B86" s="2">
        <v>6</v>
      </c>
    </row>
    <row r="87" spans="1:2" ht="15" thickBot="1" x14ac:dyDescent="0.4">
      <c r="A87" s="1" t="s">
        <v>86</v>
      </c>
      <c r="B87" s="2">
        <v>35</v>
      </c>
    </row>
    <row r="88" spans="1:2" ht="15" thickBot="1" x14ac:dyDescent="0.4">
      <c r="A88" s="1" t="s">
        <v>87</v>
      </c>
      <c r="B88" s="2">
        <v>14</v>
      </c>
    </row>
    <row r="89" spans="1:2" ht="15" thickBot="1" x14ac:dyDescent="0.4">
      <c r="A89" s="1" t="s">
        <v>88</v>
      </c>
      <c r="B89" s="2">
        <v>57</v>
      </c>
    </row>
    <row r="90" spans="1:2" ht="15" thickBot="1" x14ac:dyDescent="0.4">
      <c r="A90" s="1" t="s">
        <v>89</v>
      </c>
      <c r="B90" s="2">
        <v>4</v>
      </c>
    </row>
    <row r="91" spans="1:2" ht="15" thickBot="1" x14ac:dyDescent="0.4">
      <c r="A91" s="1" t="s">
        <v>90</v>
      </c>
      <c r="B91" s="2">
        <v>59</v>
      </c>
    </row>
    <row r="92" spans="1:2" ht="15" thickBot="1" x14ac:dyDescent="0.4">
      <c r="A92" s="1" t="s">
        <v>91</v>
      </c>
      <c r="B92" s="2">
        <v>12</v>
      </c>
    </row>
    <row r="93" spans="1:2" ht="15" thickBot="1" x14ac:dyDescent="0.4">
      <c r="A93" s="1" t="s">
        <v>92</v>
      </c>
      <c r="B93" s="2">
        <v>12</v>
      </c>
    </row>
    <row r="94" spans="1:2" ht="15" thickBot="1" x14ac:dyDescent="0.4">
      <c r="A94" s="1" t="s">
        <v>93</v>
      </c>
      <c r="B94" s="2">
        <v>7</v>
      </c>
    </row>
    <row r="95" spans="1:2" ht="15" thickBot="1" x14ac:dyDescent="0.4">
      <c r="A95" s="1" t="s">
        <v>94</v>
      </c>
      <c r="B95" s="2">
        <v>3</v>
      </c>
    </row>
    <row r="96" spans="1:2" ht="15" thickBot="1" x14ac:dyDescent="0.4">
      <c r="A96" s="1" t="s">
        <v>95</v>
      </c>
      <c r="B96" s="2">
        <v>17</v>
      </c>
    </row>
    <row r="97" spans="1:2" ht="15" thickBot="1" x14ac:dyDescent="0.4">
      <c r="A97" s="1" t="s">
        <v>96</v>
      </c>
      <c r="B97" s="2">
        <v>9</v>
      </c>
    </row>
    <row r="98" spans="1:2" ht="15" thickBot="1" x14ac:dyDescent="0.4">
      <c r="A98" s="1" t="s">
        <v>97</v>
      </c>
      <c r="B98" s="2">
        <v>8</v>
      </c>
    </row>
    <row r="99" spans="1:2" ht="15" thickBot="1" x14ac:dyDescent="0.4">
      <c r="A99" s="1" t="s">
        <v>98</v>
      </c>
      <c r="B99" s="2">
        <v>5</v>
      </c>
    </row>
    <row r="100" spans="1:2" ht="15" thickBot="1" x14ac:dyDescent="0.4">
      <c r="A100" s="1" t="s">
        <v>99</v>
      </c>
      <c r="B100" s="2">
        <v>21</v>
      </c>
    </row>
    <row r="101" spans="1:2" ht="15" thickBot="1" x14ac:dyDescent="0.4">
      <c r="A101" s="1" t="s">
        <v>100</v>
      </c>
      <c r="B101" s="2">
        <v>6</v>
      </c>
    </row>
    <row r="102" spans="1:2" ht="15" thickBot="1" x14ac:dyDescent="0.4">
      <c r="A102" s="1" t="s">
        <v>101</v>
      </c>
      <c r="B102" s="2">
        <v>17</v>
      </c>
    </row>
    <row r="103" spans="1:2" ht="15" thickBot="1" x14ac:dyDescent="0.4">
      <c r="A103" s="1" t="s">
        <v>102</v>
      </c>
      <c r="B103" s="2">
        <v>7</v>
      </c>
    </row>
    <row r="104" spans="1:2" ht="15" thickBot="1" x14ac:dyDescent="0.4">
      <c r="A104" s="1" t="s">
        <v>103</v>
      </c>
      <c r="B104" s="2">
        <v>22</v>
      </c>
    </row>
    <row r="105" spans="1:2" ht="15" thickBot="1" x14ac:dyDescent="0.4">
      <c r="A105" s="1" t="s">
        <v>104</v>
      </c>
      <c r="B105" s="2">
        <v>45</v>
      </c>
    </row>
    <row r="106" spans="1:2" ht="15" thickBot="1" x14ac:dyDescent="0.4">
      <c r="A106" s="1" t="s">
        <v>105</v>
      </c>
      <c r="B106" s="2">
        <v>11</v>
      </c>
    </row>
    <row r="107" spans="1:2" ht="15" thickBot="1" x14ac:dyDescent="0.4">
      <c r="A107" s="1" t="s">
        <v>106</v>
      </c>
      <c r="B107" s="2">
        <v>16</v>
      </c>
    </row>
    <row r="108" spans="1:2" ht="15" thickBot="1" x14ac:dyDescent="0.4">
      <c r="A108" s="1" t="s">
        <v>107</v>
      </c>
      <c r="B108" s="2">
        <v>16</v>
      </c>
    </row>
    <row r="109" spans="1:2" ht="15" thickBot="1" x14ac:dyDescent="0.4">
      <c r="A109" s="1" t="s">
        <v>108</v>
      </c>
      <c r="B109" s="2">
        <v>12</v>
      </c>
    </row>
    <row r="110" spans="1:2" ht="15" thickBot="1" x14ac:dyDescent="0.4">
      <c r="A110" s="1" t="s">
        <v>109</v>
      </c>
      <c r="B110" s="2">
        <v>4</v>
      </c>
    </row>
    <row r="111" spans="1:2" ht="15" thickBot="1" x14ac:dyDescent="0.4">
      <c r="A111" s="1" t="s">
        <v>110</v>
      </c>
      <c r="B111" s="2">
        <v>8</v>
      </c>
    </row>
    <row r="112" spans="1:2" ht="15" thickBot="1" x14ac:dyDescent="0.4">
      <c r="A112" s="1" t="s">
        <v>111</v>
      </c>
      <c r="B112" s="2">
        <v>20</v>
      </c>
    </row>
    <row r="113" spans="1:2" ht="15" thickBot="1" x14ac:dyDescent="0.4">
      <c r="A113" s="1" t="s">
        <v>112</v>
      </c>
      <c r="B113" s="2">
        <v>13</v>
      </c>
    </row>
    <row r="114" spans="1:2" ht="15" thickBot="1" x14ac:dyDescent="0.4">
      <c r="A114" s="1" t="s">
        <v>113</v>
      </c>
      <c r="B114" s="2">
        <v>19</v>
      </c>
    </row>
    <row r="115" spans="1:2" ht="15" thickBot="1" x14ac:dyDescent="0.4">
      <c r="A115" s="1" t="s">
        <v>114</v>
      </c>
      <c r="B115" s="2">
        <v>4</v>
      </c>
    </row>
    <row r="116" spans="1:2" ht="15" thickBot="1" x14ac:dyDescent="0.4">
      <c r="A116" s="1" t="s">
        <v>115</v>
      </c>
      <c r="B116" s="2">
        <v>5</v>
      </c>
    </row>
    <row r="117" spans="1:2" ht="15" thickBot="1" x14ac:dyDescent="0.4">
      <c r="A117" s="1" t="s">
        <v>116</v>
      </c>
      <c r="B117" s="2">
        <v>5</v>
      </c>
    </row>
    <row r="118" spans="1:2" ht="15" thickBot="1" x14ac:dyDescent="0.4">
      <c r="A118" s="1" t="s">
        <v>117</v>
      </c>
      <c r="B118" s="2">
        <v>100</v>
      </c>
    </row>
    <row r="119" spans="1:2" ht="15" thickBot="1" x14ac:dyDescent="0.4">
      <c r="A119" s="1" t="s">
        <v>118</v>
      </c>
      <c r="B119" s="2">
        <v>51</v>
      </c>
    </row>
    <row r="120" spans="1:2" ht="15" thickBot="1" x14ac:dyDescent="0.4">
      <c r="A120" s="1" t="s">
        <v>119</v>
      </c>
      <c r="B120" s="2">
        <v>23</v>
      </c>
    </row>
    <row r="121" spans="1:2" ht="15" thickBot="1" x14ac:dyDescent="0.4">
      <c r="A121" s="1" t="s">
        <v>120</v>
      </c>
      <c r="B121" s="2">
        <v>9</v>
      </c>
    </row>
    <row r="122" spans="1:2" ht="15" thickBot="1" x14ac:dyDescent="0.4">
      <c r="A122" s="1" t="s">
        <v>121</v>
      </c>
      <c r="B122" s="2">
        <v>4</v>
      </c>
    </row>
    <row r="123" spans="1:2" ht="15" thickBot="1" x14ac:dyDescent="0.4">
      <c r="A123" s="1" t="s">
        <v>122</v>
      </c>
      <c r="B123" s="2">
        <v>6</v>
      </c>
    </row>
    <row r="124" spans="1:2" ht="15" thickBot="1" x14ac:dyDescent="0.4">
      <c r="A124" s="1" t="s">
        <v>123</v>
      </c>
      <c r="B124" s="2">
        <v>91</v>
      </c>
    </row>
    <row r="125" spans="1:2" ht="15" thickBot="1" x14ac:dyDescent="0.4">
      <c r="A125" s="1" t="s">
        <v>124</v>
      </c>
      <c r="B125" s="2">
        <v>18</v>
      </c>
    </row>
    <row r="126" spans="1:2" ht="15" thickBot="1" x14ac:dyDescent="0.4">
      <c r="A126" s="1" t="s">
        <v>125</v>
      </c>
      <c r="B126" s="2">
        <v>30</v>
      </c>
    </row>
    <row r="127" spans="1:2" ht="15" thickBot="1" x14ac:dyDescent="0.4">
      <c r="A127" s="1" t="s">
        <v>126</v>
      </c>
      <c r="B127" s="2">
        <v>15</v>
      </c>
    </row>
    <row r="128" spans="1:2" ht="15" thickBot="1" x14ac:dyDescent="0.4">
      <c r="A128" s="1" t="s">
        <v>127</v>
      </c>
      <c r="B128" s="2">
        <v>14</v>
      </c>
    </row>
    <row r="129" spans="1:2" ht="15" thickBot="1" x14ac:dyDescent="0.4">
      <c r="A129" s="1" t="s">
        <v>128</v>
      </c>
      <c r="B129" s="2">
        <v>92</v>
      </c>
    </row>
    <row r="130" spans="1:2" ht="15" thickBot="1" x14ac:dyDescent="0.4">
      <c r="A130" s="1" t="s">
        <v>129</v>
      </c>
      <c r="B130" s="2">
        <v>16</v>
      </c>
    </row>
    <row r="131" spans="1:2" ht="15" thickBot="1" x14ac:dyDescent="0.4">
      <c r="A131" s="1" t="s">
        <v>130</v>
      </c>
      <c r="B131" s="2">
        <v>23</v>
      </c>
    </row>
    <row r="132" spans="1:2" ht="15" thickBot="1" x14ac:dyDescent="0.4">
      <c r="A132" s="1" t="s">
        <v>131</v>
      </c>
      <c r="B132" s="2">
        <v>10</v>
      </c>
    </row>
    <row r="133" spans="1:2" ht="15" thickBot="1" x14ac:dyDescent="0.4">
      <c r="A133" s="1" t="s">
        <v>132</v>
      </c>
      <c r="B133" s="2">
        <v>90</v>
      </c>
    </row>
    <row r="134" spans="1:2" ht="15" thickBot="1" x14ac:dyDescent="0.4">
      <c r="A134" s="1" t="s">
        <v>133</v>
      </c>
      <c r="B134" s="2">
        <v>5</v>
      </c>
    </row>
    <row r="135" spans="1:2" ht="15" thickBot="1" x14ac:dyDescent="0.4">
      <c r="A135" s="1" t="s">
        <v>134</v>
      </c>
      <c r="B135" s="2">
        <v>16</v>
      </c>
    </row>
    <row r="136" spans="1:2" ht="15" thickBot="1" x14ac:dyDescent="0.4">
      <c r="A136" s="1" t="s">
        <v>135</v>
      </c>
      <c r="B136" s="2">
        <v>13</v>
      </c>
    </row>
    <row r="137" spans="1:2" ht="15" thickBot="1" x14ac:dyDescent="0.4">
      <c r="A137" s="1" t="s">
        <v>136</v>
      </c>
      <c r="B137" s="2">
        <v>10</v>
      </c>
    </row>
    <row r="138" spans="1:2" ht="15" thickBot="1" x14ac:dyDescent="0.4">
      <c r="A138" s="1" t="s">
        <v>137</v>
      </c>
      <c r="B138" s="2">
        <v>17</v>
      </c>
    </row>
    <row r="139" spans="1:2" ht="15" thickBot="1" x14ac:dyDescent="0.4">
      <c r="A139" s="1" t="s">
        <v>138</v>
      </c>
      <c r="B139" s="2">
        <v>4</v>
      </c>
    </row>
    <row r="140" spans="1:2" ht="15" thickBot="1" x14ac:dyDescent="0.4">
      <c r="A140" s="1" t="s">
        <v>139</v>
      </c>
      <c r="B140" s="2">
        <v>16</v>
      </c>
    </row>
    <row r="141" spans="1:2" ht="15" thickBot="1" x14ac:dyDescent="0.4">
      <c r="A141" s="1" t="s">
        <v>140</v>
      </c>
      <c r="B141" s="2">
        <v>15</v>
      </c>
    </row>
    <row r="142" spans="1:2" ht="15" thickBot="1" x14ac:dyDescent="0.4">
      <c r="A142" s="1" t="s">
        <v>141</v>
      </c>
      <c r="B142" s="2">
        <v>8</v>
      </c>
    </row>
    <row r="143" spans="1:2" ht="15" thickBot="1" x14ac:dyDescent="0.4">
      <c r="A143" s="1" t="s">
        <v>142</v>
      </c>
      <c r="B143" s="2">
        <v>6</v>
      </c>
    </row>
    <row r="144" spans="1:2" ht="15" thickBot="1" x14ac:dyDescent="0.4">
      <c r="A144" s="1" t="s">
        <v>143</v>
      </c>
      <c r="B144" s="2">
        <v>3</v>
      </c>
    </row>
    <row r="145" spans="1:2" ht="15" thickBot="1" x14ac:dyDescent="0.4">
      <c r="A145" s="1" t="s">
        <v>144</v>
      </c>
      <c r="B145" s="2">
        <v>99</v>
      </c>
    </row>
    <row r="146" spans="1:2" ht="15" thickBot="1" x14ac:dyDescent="0.4">
      <c r="A146" s="1" t="s">
        <v>145</v>
      </c>
      <c r="B146" s="2">
        <v>35</v>
      </c>
    </row>
    <row r="147" spans="1:2" ht="15" thickBot="1" x14ac:dyDescent="0.4">
      <c r="A147" s="1" t="s">
        <v>146</v>
      </c>
      <c r="B147" s="2">
        <v>37</v>
      </c>
    </row>
    <row r="148" spans="1:2" ht="15" thickBot="1" x14ac:dyDescent="0.4">
      <c r="A148" s="1" t="s">
        <v>147</v>
      </c>
      <c r="B148" s="2">
        <v>48</v>
      </c>
    </row>
    <row r="149" spans="1:2" ht="15" thickBot="1" x14ac:dyDescent="0.4">
      <c r="A149" s="1" t="s">
        <v>148</v>
      </c>
      <c r="B149" s="2">
        <v>37</v>
      </c>
    </row>
    <row r="150" spans="1:2" ht="15" thickBot="1" x14ac:dyDescent="0.4">
      <c r="A150" s="1" t="s">
        <v>149</v>
      </c>
      <c r="B150" s="2">
        <v>6</v>
      </c>
    </row>
    <row r="151" spans="1:2" ht="15" thickBot="1" x14ac:dyDescent="0.4">
      <c r="A151" s="1" t="s">
        <v>150</v>
      </c>
      <c r="B151" s="2">
        <v>1</v>
      </c>
    </row>
    <row r="152" spans="1:2" ht="15" thickBot="1" x14ac:dyDescent="0.4">
      <c r="A152" s="1" t="s">
        <v>151</v>
      </c>
      <c r="B152" s="2">
        <v>8</v>
      </c>
    </row>
    <row r="153" spans="1:2" ht="15" thickBot="1" x14ac:dyDescent="0.4">
      <c r="A153" s="1" t="s">
        <v>152</v>
      </c>
      <c r="B153" s="2">
        <v>7</v>
      </c>
    </row>
    <row r="154" spans="1:2" ht="15" thickBot="1" x14ac:dyDescent="0.4">
      <c r="A154" s="1" t="s">
        <v>153</v>
      </c>
      <c r="B154" s="2">
        <v>16</v>
      </c>
    </row>
    <row r="155" spans="1:2" ht="15" thickBot="1" x14ac:dyDescent="0.4">
      <c r="A155" s="1" t="s">
        <v>154</v>
      </c>
      <c r="B155" s="2">
        <v>10</v>
      </c>
    </row>
    <row r="156" spans="1:2" ht="15" thickBot="1" x14ac:dyDescent="0.4">
      <c r="A156" s="1" t="s">
        <v>155</v>
      </c>
      <c r="B156" s="2">
        <v>12</v>
      </c>
    </row>
    <row r="157" spans="1:2" ht="15" thickBot="1" x14ac:dyDescent="0.4">
      <c r="A157" s="1" t="s">
        <v>156</v>
      </c>
      <c r="B157" s="2">
        <v>12</v>
      </c>
    </row>
    <row r="158" spans="1:2" ht="15" thickBot="1" x14ac:dyDescent="0.4">
      <c r="A158" s="1" t="s">
        <v>157</v>
      </c>
      <c r="B158" s="2">
        <v>4</v>
      </c>
    </row>
    <row r="159" spans="1:2" ht="15" thickBot="1" x14ac:dyDescent="0.4">
      <c r="A159" s="1" t="s">
        <v>158</v>
      </c>
      <c r="B159" s="2">
        <v>9</v>
      </c>
    </row>
    <row r="160" spans="1:2" ht="15" thickBot="1" x14ac:dyDescent="0.4">
      <c r="A160" s="1" t="s">
        <v>159</v>
      </c>
      <c r="B160" s="2">
        <v>38</v>
      </c>
    </row>
    <row r="161" spans="1:2" ht="15" thickBot="1" x14ac:dyDescent="0.4">
      <c r="A161" s="1" t="s">
        <v>160</v>
      </c>
      <c r="B161" s="2">
        <v>37</v>
      </c>
    </row>
    <row r="162" spans="1:2" ht="15" thickBot="1" x14ac:dyDescent="0.4">
      <c r="A162" s="1" t="s">
        <v>161</v>
      </c>
      <c r="B162" s="2">
        <v>15</v>
      </c>
    </row>
    <row r="163" spans="1:2" ht="15" thickBot="1" x14ac:dyDescent="0.4">
      <c r="A163" s="1" t="s">
        <v>162</v>
      </c>
      <c r="B163" s="2">
        <v>6</v>
      </c>
    </row>
    <row r="164" spans="1:2" ht="15" thickBot="1" x14ac:dyDescent="0.4">
      <c r="A164" s="1" t="s">
        <v>163</v>
      </c>
      <c r="B164" s="2">
        <v>6</v>
      </c>
    </row>
    <row r="165" spans="1:2" ht="15" thickBot="1" x14ac:dyDescent="0.4">
      <c r="A165" s="1" t="s">
        <v>164</v>
      </c>
      <c r="B165" s="2">
        <v>7</v>
      </c>
    </row>
    <row r="166" spans="1:2" ht="15" thickBot="1" x14ac:dyDescent="0.4">
      <c r="A166" s="1" t="s">
        <v>165</v>
      </c>
      <c r="B166" s="2">
        <v>6</v>
      </c>
    </row>
    <row r="167" spans="1:2" ht="15" thickBot="1" x14ac:dyDescent="0.4">
      <c r="A167" s="1" t="s">
        <v>166</v>
      </c>
      <c r="B167" s="2">
        <v>12</v>
      </c>
    </row>
    <row r="168" spans="1:2" ht="15" thickBot="1" x14ac:dyDescent="0.4">
      <c r="A168" s="1" t="s">
        <v>167</v>
      </c>
      <c r="B168" s="2">
        <v>20</v>
      </c>
    </row>
    <row r="169" spans="1:2" ht="15" thickBot="1" x14ac:dyDescent="0.4">
      <c r="A169" s="1" t="s">
        <v>168</v>
      </c>
      <c r="B169" s="2">
        <v>2</v>
      </c>
    </row>
    <row r="170" spans="1:2" ht="15" thickBot="1" x14ac:dyDescent="0.4">
      <c r="A170" s="1" t="s">
        <v>169</v>
      </c>
      <c r="B170" s="2">
        <v>22</v>
      </c>
    </row>
    <row r="171" spans="1:2" ht="15" thickBot="1" x14ac:dyDescent="0.4">
      <c r="A171" s="1" t="s">
        <v>170</v>
      </c>
      <c r="B171" s="2">
        <v>4</v>
      </c>
    </row>
    <row r="172" spans="1:2" ht="15" thickBot="1" x14ac:dyDescent="0.4">
      <c r="A172" s="1" t="s">
        <v>171</v>
      </c>
      <c r="B172" s="2">
        <v>22</v>
      </c>
    </row>
    <row r="173" spans="1:2" ht="15" thickBot="1" x14ac:dyDescent="0.4">
      <c r="A173" s="1" t="s">
        <v>172</v>
      </c>
      <c r="B173" s="2">
        <v>16</v>
      </c>
    </row>
    <row r="174" spans="1:2" ht="15" thickBot="1" x14ac:dyDescent="0.4">
      <c r="A174" s="1" t="s">
        <v>173</v>
      </c>
      <c r="B174" s="2">
        <v>11</v>
      </c>
    </row>
    <row r="175" spans="1:2" ht="15" thickBot="1" x14ac:dyDescent="0.4">
      <c r="A175" s="1" t="s">
        <v>174</v>
      </c>
      <c r="B175" s="2">
        <v>5</v>
      </c>
    </row>
    <row r="176" spans="1:2" ht="15" thickBot="1" x14ac:dyDescent="0.4">
      <c r="A176" s="1" t="s">
        <v>175</v>
      </c>
      <c r="B176" s="2">
        <v>8</v>
      </c>
    </row>
    <row r="177" spans="1:2" ht="15" thickBot="1" x14ac:dyDescent="0.4">
      <c r="A177" s="1" t="s">
        <v>176</v>
      </c>
      <c r="B177" s="2">
        <v>10</v>
      </c>
    </row>
    <row r="178" spans="1:2" ht="15" thickBot="1" x14ac:dyDescent="0.4">
      <c r="A178" s="1" t="s">
        <v>177</v>
      </c>
      <c r="B178" s="2">
        <v>12</v>
      </c>
    </row>
    <row r="179" spans="1:2" ht="15" thickBot="1" x14ac:dyDescent="0.4">
      <c r="A179" s="1" t="s">
        <v>178</v>
      </c>
      <c r="B179" s="2">
        <v>48</v>
      </c>
    </row>
    <row r="180" spans="1:2" ht="15" thickBot="1" x14ac:dyDescent="0.4">
      <c r="A180" s="1" t="s">
        <v>179</v>
      </c>
      <c r="B180" s="2">
        <v>9</v>
      </c>
    </row>
    <row r="181" spans="1:2" ht="15" thickBot="1" x14ac:dyDescent="0.4">
      <c r="A181" s="1" t="s">
        <v>180</v>
      </c>
      <c r="B181" s="2">
        <v>6</v>
      </c>
    </row>
    <row r="182" spans="1:2" ht="15" thickBot="1" x14ac:dyDescent="0.4">
      <c r="A182" s="1" t="s">
        <v>181</v>
      </c>
      <c r="B182" s="2">
        <v>4</v>
      </c>
    </row>
    <row r="183" spans="1:2" ht="15" thickBot="1" x14ac:dyDescent="0.4">
      <c r="A183" s="1" t="s">
        <v>182</v>
      </c>
      <c r="B183" s="2">
        <v>31</v>
      </c>
    </row>
    <row r="184" spans="1:2" ht="15" thickBot="1" x14ac:dyDescent="0.4">
      <c r="A184" s="1" t="s">
        <v>183</v>
      </c>
      <c r="B184" s="2">
        <v>13</v>
      </c>
    </row>
    <row r="185" spans="1:2" ht="15" thickBot="1" x14ac:dyDescent="0.4">
      <c r="A185" s="1" t="s">
        <v>184</v>
      </c>
      <c r="B185" s="2">
        <v>23</v>
      </c>
    </row>
    <row r="186" spans="1:2" ht="15" thickBot="1" x14ac:dyDescent="0.4">
      <c r="A186" s="1" t="s">
        <v>185</v>
      </c>
      <c r="B186" s="2">
        <v>43</v>
      </c>
    </row>
    <row r="187" spans="1:2" ht="15" thickBot="1" x14ac:dyDescent="0.4">
      <c r="A187" s="1" t="s">
        <v>186</v>
      </c>
      <c r="B187" s="2">
        <v>31</v>
      </c>
    </row>
    <row r="188" spans="1:2" ht="15" thickBot="1" x14ac:dyDescent="0.4">
      <c r="A188" s="1" t="s">
        <v>187</v>
      </c>
      <c r="B188" s="2">
        <v>14</v>
      </c>
    </row>
    <row r="189" spans="1:2" ht="15" thickBot="1" x14ac:dyDescent="0.4">
      <c r="A189" s="1" t="s">
        <v>188</v>
      </c>
      <c r="B189" s="2">
        <v>61</v>
      </c>
    </row>
    <row r="190" spans="1:2" ht="15" thickBot="1" x14ac:dyDescent="0.4">
      <c r="A190" s="1" t="s">
        <v>189</v>
      </c>
      <c r="B190" s="2">
        <v>24</v>
      </c>
    </row>
    <row r="191" spans="1:2" ht="15" thickBot="1" x14ac:dyDescent="0.4">
      <c r="A191" s="1" t="s">
        <v>190</v>
      </c>
      <c r="B191" s="2">
        <v>21</v>
      </c>
    </row>
    <row r="192" spans="1:2" ht="15" thickBot="1" x14ac:dyDescent="0.4">
      <c r="A192" s="1" t="s">
        <v>191</v>
      </c>
      <c r="B192" s="2">
        <v>11</v>
      </c>
    </row>
    <row r="193" spans="1:2" ht="15" thickBot="1" x14ac:dyDescent="0.4">
      <c r="A193" s="1" t="s">
        <v>192</v>
      </c>
      <c r="B193" s="2">
        <v>21</v>
      </c>
    </row>
    <row r="194" spans="1:2" ht="15" thickBot="1" x14ac:dyDescent="0.4">
      <c r="A194" s="1" t="s">
        <v>193</v>
      </c>
      <c r="B194" s="2">
        <v>42</v>
      </c>
    </row>
    <row r="195" spans="1:2" ht="15" thickBot="1" x14ac:dyDescent="0.4">
      <c r="A195" s="1" t="s">
        <v>194</v>
      </c>
      <c r="B195" s="2">
        <v>16</v>
      </c>
    </row>
    <row r="196" spans="1:2" ht="15" thickBot="1" x14ac:dyDescent="0.4">
      <c r="A196" s="1" t="s">
        <v>195</v>
      </c>
      <c r="B196" s="2">
        <v>4</v>
      </c>
    </row>
    <row r="197" spans="1:2" ht="15" thickBot="1" x14ac:dyDescent="0.4">
      <c r="A197" s="1" t="s">
        <v>196</v>
      </c>
      <c r="B197" s="2">
        <v>20</v>
      </c>
    </row>
    <row r="198" spans="1:2" ht="15" thickBot="1" x14ac:dyDescent="0.4">
      <c r="A198" s="1" t="s">
        <v>197</v>
      </c>
      <c r="B198" s="2">
        <v>8</v>
      </c>
    </row>
    <row r="199" spans="1:2" ht="15" thickBot="1" x14ac:dyDescent="0.4">
      <c r="A199" s="1" t="s">
        <v>198</v>
      </c>
      <c r="B199" s="2">
        <v>7</v>
      </c>
    </row>
    <row r="200" spans="1:2" ht="15" thickBot="1" x14ac:dyDescent="0.4">
      <c r="A200" s="1" t="s">
        <v>199</v>
      </c>
      <c r="B200" s="2">
        <v>12</v>
      </c>
    </row>
    <row r="201" spans="1:2" ht="15" thickBot="1" x14ac:dyDescent="0.4">
      <c r="A201" s="1" t="s">
        <v>200</v>
      </c>
      <c r="B201" s="2">
        <v>35</v>
      </c>
    </row>
    <row r="202" spans="1:2" ht="15" thickBot="1" x14ac:dyDescent="0.4">
      <c r="A202" s="1" t="s">
        <v>201</v>
      </c>
      <c r="B202" s="2">
        <v>7</v>
      </c>
    </row>
    <row r="203" spans="1:2" ht="15" thickBot="1" x14ac:dyDescent="0.4">
      <c r="A203" s="1" t="s">
        <v>202</v>
      </c>
      <c r="B203" s="2">
        <v>15</v>
      </c>
    </row>
    <row r="204" spans="1:2" ht="15" thickBot="1" x14ac:dyDescent="0.4">
      <c r="A204" s="1" t="s">
        <v>203</v>
      </c>
      <c r="B204" s="2">
        <v>8</v>
      </c>
    </row>
    <row r="205" spans="1:2" ht="15" thickBot="1" x14ac:dyDescent="0.4">
      <c r="A205" s="1" t="s">
        <v>204</v>
      </c>
      <c r="B205" s="2">
        <v>9</v>
      </c>
    </row>
    <row r="206" spans="1:2" ht="15" thickBot="1" x14ac:dyDescent="0.4">
      <c r="A206" s="1" t="s">
        <v>205</v>
      </c>
      <c r="B206" s="2">
        <v>10</v>
      </c>
    </row>
    <row r="207" spans="1:2" ht="15" thickBot="1" x14ac:dyDescent="0.4">
      <c r="A207" s="1" t="s">
        <v>206</v>
      </c>
      <c r="B207" s="2">
        <v>1</v>
      </c>
    </row>
    <row r="208" spans="1:2" ht="15" thickBot="1" x14ac:dyDescent="0.4">
      <c r="A208" s="1" t="s">
        <v>207</v>
      </c>
      <c r="B208" s="2">
        <v>14</v>
      </c>
    </row>
    <row r="209" spans="1:2" ht="15" thickBot="1" x14ac:dyDescent="0.4">
      <c r="A209" s="1" t="s">
        <v>208</v>
      </c>
      <c r="B209" s="2">
        <v>17</v>
      </c>
    </row>
    <row r="210" spans="1:2" ht="15" thickBot="1" x14ac:dyDescent="0.4">
      <c r="A210" s="1" t="s">
        <v>209</v>
      </c>
      <c r="B210" s="2">
        <v>29</v>
      </c>
    </row>
    <row r="211" spans="1:2" ht="15" thickBot="1" x14ac:dyDescent="0.4">
      <c r="A211" s="1" t="s">
        <v>210</v>
      </c>
      <c r="B211" s="2">
        <v>68</v>
      </c>
    </row>
    <row r="212" spans="1:2" ht="15" thickBot="1" x14ac:dyDescent="0.4">
      <c r="A212" s="1" t="s">
        <v>211</v>
      </c>
      <c r="B212" s="2">
        <v>9</v>
      </c>
    </row>
    <row r="213" spans="1:2" ht="15" thickBot="1" x14ac:dyDescent="0.4">
      <c r="A213" s="1" t="s">
        <v>212</v>
      </c>
      <c r="B213" s="2">
        <v>7</v>
      </c>
    </row>
    <row r="214" spans="1:2" ht="15" thickBot="1" x14ac:dyDescent="0.4">
      <c r="A214" s="1" t="s">
        <v>213</v>
      </c>
      <c r="B214" s="2">
        <v>10</v>
      </c>
    </row>
    <row r="215" spans="1:2" ht="15" thickBot="1" x14ac:dyDescent="0.4">
      <c r="A215" s="1" t="s">
        <v>214</v>
      </c>
      <c r="B215" s="2">
        <v>69</v>
      </c>
    </row>
    <row r="216" spans="1:2" ht="15" thickBot="1" x14ac:dyDescent="0.4">
      <c r="A216" s="1" t="s">
        <v>215</v>
      </c>
      <c r="B216" s="2">
        <v>92</v>
      </c>
    </row>
    <row r="217" spans="1:2" ht="15" thickBot="1" x14ac:dyDescent="0.4">
      <c r="A217" s="1" t="s">
        <v>216</v>
      </c>
      <c r="B217" s="2">
        <v>33</v>
      </c>
    </row>
    <row r="218" spans="1:2" ht="15" thickBot="1" x14ac:dyDescent="0.4">
      <c r="A218" s="1" t="s">
        <v>217</v>
      </c>
      <c r="B218" s="2">
        <v>22</v>
      </c>
    </row>
    <row r="219" spans="1:2" ht="15" thickBot="1" x14ac:dyDescent="0.4">
      <c r="A219" s="1" t="s">
        <v>218</v>
      </c>
      <c r="B219" s="2">
        <v>5</v>
      </c>
    </row>
    <row r="220" spans="1:2" ht="15" thickBot="1" x14ac:dyDescent="0.4">
      <c r="A220" s="1" t="s">
        <v>219</v>
      </c>
      <c r="B220" s="2">
        <v>8</v>
      </c>
    </row>
    <row r="221" spans="1:2" ht="15" thickBot="1" x14ac:dyDescent="0.4">
      <c r="A221" s="1" t="s">
        <v>220</v>
      </c>
      <c r="B221" s="2">
        <v>24</v>
      </c>
    </row>
    <row r="222" spans="1:2" ht="15" thickBot="1" x14ac:dyDescent="0.4">
      <c r="A222" s="1" t="s">
        <v>221</v>
      </c>
      <c r="B222" s="2">
        <v>18</v>
      </c>
    </row>
    <row r="223" spans="1:2" ht="15" thickBot="1" x14ac:dyDescent="0.4">
      <c r="A223" s="1" t="s">
        <v>222</v>
      </c>
      <c r="B223" s="2">
        <v>631</v>
      </c>
    </row>
    <row r="224" spans="1:2" ht="15" thickBot="1" x14ac:dyDescent="0.4">
      <c r="A224" s="1" t="s">
        <v>223</v>
      </c>
      <c r="B224" s="2">
        <v>15</v>
      </c>
    </row>
    <row r="225" spans="1:2" ht="15" thickBot="1" x14ac:dyDescent="0.4">
      <c r="A225" s="1" t="s">
        <v>224</v>
      </c>
      <c r="B225" s="2">
        <v>17</v>
      </c>
    </row>
    <row r="226" spans="1:2" ht="15" thickBot="1" x14ac:dyDescent="0.4">
      <c r="A226" s="1" t="s">
        <v>225</v>
      </c>
      <c r="B226" s="2">
        <v>19</v>
      </c>
    </row>
    <row r="227" spans="1:2" ht="15" thickBot="1" x14ac:dyDescent="0.4">
      <c r="A227" s="1" t="s">
        <v>226</v>
      </c>
      <c r="B227" s="2">
        <v>8</v>
      </c>
    </row>
    <row r="228" spans="1:2" ht="15" thickBot="1" x14ac:dyDescent="0.4">
      <c r="A228" s="1" t="s">
        <v>227</v>
      </c>
      <c r="B228" s="2">
        <v>19</v>
      </c>
    </row>
    <row r="229" spans="1:2" ht="15" thickBot="1" x14ac:dyDescent="0.4">
      <c r="A229" s="1" t="s">
        <v>228</v>
      </c>
      <c r="B229" s="2">
        <v>8</v>
      </c>
    </row>
    <row r="230" spans="1:2" ht="15" thickBot="1" x14ac:dyDescent="0.4">
      <c r="A230" s="1" t="s">
        <v>229</v>
      </c>
      <c r="B230" s="2">
        <v>6</v>
      </c>
    </row>
    <row r="231" spans="1:2" ht="15" thickBot="1" x14ac:dyDescent="0.4">
      <c r="A231" s="1" t="s">
        <v>230</v>
      </c>
      <c r="B231" s="2">
        <v>4</v>
      </c>
    </row>
    <row r="232" spans="1:2" ht="15" thickBot="1" x14ac:dyDescent="0.4">
      <c r="A232" s="1" t="s">
        <v>231</v>
      </c>
      <c r="B232" s="2">
        <v>22</v>
      </c>
    </row>
    <row r="233" spans="1:2" ht="15" thickBot="1" x14ac:dyDescent="0.4">
      <c r="A233" s="1" t="s">
        <v>232</v>
      </c>
      <c r="B233" s="2">
        <v>31</v>
      </c>
    </row>
    <row r="234" spans="1:2" ht="15" thickBot="1" x14ac:dyDescent="0.4">
      <c r="A234" s="1" t="s">
        <v>233</v>
      </c>
      <c r="B234" s="2">
        <v>16</v>
      </c>
    </row>
    <row r="235" spans="1:2" ht="15" thickBot="1" x14ac:dyDescent="0.4">
      <c r="A235" s="1" t="s">
        <v>234</v>
      </c>
      <c r="B235" s="2">
        <v>5</v>
      </c>
    </row>
    <row r="236" spans="1:2" ht="15" thickBot="1" x14ac:dyDescent="0.4">
      <c r="A236" s="1" t="s">
        <v>235</v>
      </c>
      <c r="B236" s="2">
        <v>28</v>
      </c>
    </row>
    <row r="237" spans="1:2" ht="15" thickBot="1" x14ac:dyDescent="0.4">
      <c r="A237" s="1" t="s">
        <v>236</v>
      </c>
      <c r="B237" s="2">
        <v>84</v>
      </c>
    </row>
    <row r="238" spans="1:2" ht="15" thickBot="1" x14ac:dyDescent="0.4">
      <c r="A238" s="1" t="s">
        <v>237</v>
      </c>
      <c r="B238" s="2">
        <v>9</v>
      </c>
    </row>
    <row r="239" spans="1:2" ht="15" thickBot="1" x14ac:dyDescent="0.4">
      <c r="A239" s="1" t="s">
        <v>238</v>
      </c>
      <c r="B239" s="2">
        <v>7</v>
      </c>
    </row>
    <row r="240" spans="1:2" ht="15" thickBot="1" x14ac:dyDescent="0.4">
      <c r="A240" s="1" t="s">
        <v>239</v>
      </c>
      <c r="B240" s="2">
        <v>123</v>
      </c>
    </row>
    <row r="241" spans="1:2" ht="15" thickBot="1" x14ac:dyDescent="0.4">
      <c r="A241" s="1" t="s">
        <v>240</v>
      </c>
      <c r="B241" s="2">
        <v>12</v>
      </c>
    </row>
    <row r="242" spans="1:2" ht="15" thickBot="1" x14ac:dyDescent="0.4">
      <c r="A242" s="1" t="s">
        <v>241</v>
      </c>
      <c r="B242" s="2">
        <v>7</v>
      </c>
    </row>
    <row r="243" spans="1:2" ht="15" thickBot="1" x14ac:dyDescent="0.4">
      <c r="A243" s="1" t="s">
        <v>242</v>
      </c>
      <c r="B243" s="2">
        <v>19</v>
      </c>
    </row>
    <row r="244" spans="1:2" ht="15" thickBot="1" x14ac:dyDescent="0.4">
      <c r="A244" s="1" t="s">
        <v>243</v>
      </c>
      <c r="B244" s="2">
        <v>43</v>
      </c>
    </row>
    <row r="245" spans="1:2" ht="15" thickBot="1" x14ac:dyDescent="0.4">
      <c r="A245" s="1" t="s">
        <v>244</v>
      </c>
      <c r="B245" s="2">
        <v>28</v>
      </c>
    </row>
    <row r="246" spans="1:2" ht="15" thickBot="1" x14ac:dyDescent="0.4">
      <c r="A246" s="1" t="s">
        <v>245</v>
      </c>
      <c r="B246" s="2">
        <v>25</v>
      </c>
    </row>
    <row r="247" spans="1:2" ht="15" thickBot="1" x14ac:dyDescent="0.4">
      <c r="A247" s="1" t="s">
        <v>246</v>
      </c>
      <c r="B247" s="2">
        <v>20</v>
      </c>
    </row>
    <row r="248" spans="1:2" ht="15" thickBot="1" x14ac:dyDescent="0.4">
      <c r="A248" s="1" t="s">
        <v>247</v>
      </c>
      <c r="B248" s="2">
        <v>14</v>
      </c>
    </row>
    <row r="249" spans="1:2" ht="15" thickBot="1" x14ac:dyDescent="0.4">
      <c r="A249" s="1" t="s">
        <v>248</v>
      </c>
      <c r="B249" s="2">
        <v>4</v>
      </c>
    </row>
    <row r="250" spans="1:2" ht="15" thickBot="1" x14ac:dyDescent="0.4">
      <c r="A250" s="1" t="s">
        <v>249</v>
      </c>
      <c r="B250" s="2">
        <v>181</v>
      </c>
    </row>
    <row r="251" spans="1:2" ht="15" thickBot="1" x14ac:dyDescent="0.4">
      <c r="A251" s="1" t="s">
        <v>250</v>
      </c>
      <c r="B251" s="2">
        <v>8</v>
      </c>
    </row>
    <row r="252" spans="1:2" ht="15" thickBot="1" x14ac:dyDescent="0.4">
      <c r="A252" s="1" t="s">
        <v>251</v>
      </c>
      <c r="B252" s="2">
        <v>117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57828-1289-4FAD-8585-EF36AD46771B}">
  <sheetPr codeName="Sheet6"/>
  <dimension ref="A1:J8"/>
  <sheetViews>
    <sheetView workbookViewId="0">
      <selection activeCell="I18" sqref="I18"/>
    </sheetView>
  </sheetViews>
  <sheetFormatPr defaultRowHeight="14.5" x14ac:dyDescent="0.35"/>
  <cols>
    <col min="1" max="7" width="8.7265625" style="11"/>
    <col min="9" max="9" width="19" customWidth="1"/>
    <col min="10" max="10" width="19.90625" customWidth="1"/>
  </cols>
  <sheetData>
    <row r="1" spans="1:10" x14ac:dyDescent="0.35">
      <c r="A1" s="11" t="s">
        <v>262</v>
      </c>
      <c r="B1" s="11" t="s">
        <v>265</v>
      </c>
      <c r="C1" s="11" t="s">
        <v>266</v>
      </c>
      <c r="D1" s="11" t="s">
        <v>267</v>
      </c>
      <c r="E1" s="11" t="s">
        <v>268</v>
      </c>
      <c r="F1" s="11" t="s">
        <v>269</v>
      </c>
      <c r="G1" s="11" t="s">
        <v>271</v>
      </c>
      <c r="I1" s="5" t="s">
        <v>290</v>
      </c>
      <c r="J1" t="s">
        <v>307</v>
      </c>
    </row>
    <row r="2" spans="1:10" x14ac:dyDescent="0.35">
      <c r="A2" s="11">
        <v>1</v>
      </c>
      <c r="B2" s="11" t="s">
        <v>272</v>
      </c>
      <c r="C2" s="11" t="s">
        <v>273</v>
      </c>
      <c r="D2" s="11" t="s">
        <v>274</v>
      </c>
      <c r="E2" s="11" t="s">
        <v>275</v>
      </c>
      <c r="G2" s="11" t="s">
        <v>277</v>
      </c>
      <c r="I2" t="s">
        <v>292</v>
      </c>
      <c r="J2">
        <f>COUNTIF(Table5[Type of Membership],"*entry*")</f>
        <v>1</v>
      </c>
    </row>
    <row r="3" spans="1:10" x14ac:dyDescent="0.35">
      <c r="A3" s="11">
        <v>2</v>
      </c>
      <c r="B3" s="11" t="s">
        <v>278</v>
      </c>
      <c r="C3" s="11" t="s">
        <v>279</v>
      </c>
      <c r="D3" s="11" t="s">
        <v>280</v>
      </c>
      <c r="E3" s="11" t="s">
        <v>281</v>
      </c>
      <c r="G3" s="11" t="s">
        <v>283</v>
      </c>
      <c r="I3" t="s">
        <v>293</v>
      </c>
      <c r="J3">
        <f>COUNTIF(Table5[Type of Membership],"*pro*")</f>
        <v>2</v>
      </c>
    </row>
    <row r="4" spans="1:10" x14ac:dyDescent="0.35">
      <c r="A4" s="11">
        <v>3</v>
      </c>
      <c r="B4" s="11" t="s">
        <v>284</v>
      </c>
      <c r="C4" s="11" t="s">
        <v>285</v>
      </c>
      <c r="D4" s="11" t="s">
        <v>286</v>
      </c>
      <c r="E4" s="11" t="s">
        <v>287</v>
      </c>
      <c r="G4" s="11" t="s">
        <v>289</v>
      </c>
      <c r="I4" t="s">
        <v>291</v>
      </c>
      <c r="J4">
        <f>COUNTIF(Table5[Type of Membership],"*full*")</f>
        <v>3</v>
      </c>
    </row>
    <row r="5" spans="1:10" x14ac:dyDescent="0.35">
      <c r="A5" s="11">
        <v>4</v>
      </c>
      <c r="B5" s="11" t="s">
        <v>296</v>
      </c>
      <c r="C5" s="11" t="s">
        <v>297</v>
      </c>
      <c r="D5" s="11" t="s">
        <v>298</v>
      </c>
      <c r="E5" s="11" t="s">
        <v>299</v>
      </c>
      <c r="F5" s="11" t="s">
        <v>300</v>
      </c>
      <c r="G5" s="11" t="s">
        <v>301</v>
      </c>
      <c r="I5" t="s">
        <v>294</v>
      </c>
      <c r="J5">
        <f>COUNTIF(Table5[Type of Membership],"*advanced*")</f>
        <v>0</v>
      </c>
    </row>
    <row r="6" spans="1:10" x14ac:dyDescent="0.35">
      <c r="A6" s="11">
        <v>5</v>
      </c>
      <c r="B6" s="11" t="s">
        <v>302</v>
      </c>
      <c r="C6" s="11" t="s">
        <v>303</v>
      </c>
      <c r="D6" s="11" t="s">
        <v>304</v>
      </c>
      <c r="E6" s="11" t="s">
        <v>275</v>
      </c>
      <c r="G6" s="11" t="s">
        <v>306</v>
      </c>
      <c r="I6" t="s">
        <v>295</v>
      </c>
      <c r="J6">
        <f>COUNTIF(Table5[Type of Membership],"*discount*")</f>
        <v>1</v>
      </c>
    </row>
    <row r="7" spans="1:10" x14ac:dyDescent="0.35">
      <c r="A7" s="11">
        <v>6</v>
      </c>
      <c r="B7" s="11" t="s">
        <v>326</v>
      </c>
      <c r="C7" s="11" t="s">
        <v>327</v>
      </c>
      <c r="D7" s="11" t="s">
        <v>328</v>
      </c>
      <c r="E7" s="11" t="s">
        <v>275</v>
      </c>
    </row>
    <row r="8" spans="1:10" x14ac:dyDescent="0.35">
      <c r="A8" s="11">
        <v>7</v>
      </c>
      <c r="B8" s="11" t="s">
        <v>330</v>
      </c>
      <c r="C8" s="11" t="s">
        <v>331</v>
      </c>
      <c r="D8" s="11" t="s">
        <v>332</v>
      </c>
      <c r="E8" s="11" t="s">
        <v>287</v>
      </c>
      <c r="I8" s="10" t="s">
        <v>334</v>
      </c>
      <c r="J8" s="13">
        <f>SUM(J2:J6)</f>
        <v>7</v>
      </c>
    </row>
  </sheetData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1914B-6FB5-42D6-8F1B-3DED683A7549}">
  <sheetPr codeName="Sheet7"/>
  <dimension ref="A1:N8"/>
  <sheetViews>
    <sheetView tabSelected="1" topLeftCell="F1" workbookViewId="0">
      <selection activeCell="I14" sqref="I14"/>
    </sheetView>
  </sheetViews>
  <sheetFormatPr defaultRowHeight="14.5" x14ac:dyDescent="0.35"/>
  <cols>
    <col min="1" max="2" width="8.7265625" style="11"/>
    <col min="4" max="4" width="16.90625" customWidth="1"/>
    <col min="5" max="5" width="16.54296875" customWidth="1"/>
    <col min="6" max="6" width="28.54296875" customWidth="1"/>
    <col min="7" max="7" width="27.81640625" customWidth="1"/>
    <col min="8" max="8" width="23.6328125" customWidth="1"/>
    <col min="9" max="9" width="21.08984375" customWidth="1"/>
    <col min="10" max="11" width="15.453125" customWidth="1"/>
    <col min="13" max="13" width="20" customWidth="1"/>
  </cols>
  <sheetData>
    <row r="1" spans="1:14" x14ac:dyDescent="0.35">
      <c r="A1" s="11" t="s">
        <v>262</v>
      </c>
      <c r="B1" s="11" t="s">
        <v>270</v>
      </c>
      <c r="D1" s="5" t="s">
        <v>276</v>
      </c>
      <c r="E1" s="5" t="s">
        <v>308</v>
      </c>
      <c r="F1" s="5" t="s">
        <v>282</v>
      </c>
      <c r="G1" s="5" t="s">
        <v>288</v>
      </c>
      <c r="H1" s="5" t="s">
        <v>305</v>
      </c>
      <c r="I1" s="5" t="s">
        <v>309</v>
      </c>
      <c r="J1" s="5" t="s">
        <v>310</v>
      </c>
      <c r="K1" s="5" t="s">
        <v>313</v>
      </c>
      <c r="M1" t="s">
        <v>312</v>
      </c>
      <c r="N1" t="s">
        <v>311</v>
      </c>
    </row>
    <row r="2" spans="1:14" x14ac:dyDescent="0.35">
      <c r="A2" s="11">
        <v>1</v>
      </c>
      <c r="B2" s="11" t="s">
        <v>276</v>
      </c>
      <c r="D2">
        <f>COUNTIF(Table7[[#This Row],[How did you hear about us?]],"*current member*")</f>
        <v>1</v>
      </c>
      <c r="E2" s="6">
        <f>COUNTIF(Table7[[#This Row],[ID]],"*facebook*")</f>
        <v>0</v>
      </c>
      <c r="F2" s="6">
        <f>COUNTIF(Table7[[#This Row],[How did you hear about us?]],"*friend*")</f>
        <v>0</v>
      </c>
      <c r="G2" s="6">
        <f>COUNTIF(Table7[[#This Row],[ID]],"*online search for makerspace*")</f>
        <v>0</v>
      </c>
      <c r="H2" s="6">
        <f>COUNTIF(Table7[[#This Row],[How did you hear about us?]],"*online search for class*")</f>
        <v>0</v>
      </c>
      <c r="I2" s="6">
        <f>COUNTIF(Table7[[#This Row],[ID]],"*advertisement*")</f>
        <v>0</v>
      </c>
      <c r="J2" t="str" cm="1">
        <f t="array" ref="J2">removetexts(Table7[[#This Row],[How did you hear about us?]],Table8[[#Headers],[Current member]:[Online Advertisement]])</f>
        <v/>
      </c>
      <c r="K2">
        <f>IF(Table8[[#This Row],[Other]]&lt;&gt;"",1,0)</f>
        <v>0</v>
      </c>
      <c r="M2" s="14" t="s">
        <v>276</v>
      </c>
      <c r="N2">
        <f>SUM(Table8[Current member])</f>
        <v>2</v>
      </c>
    </row>
    <row r="3" spans="1:14" x14ac:dyDescent="0.35">
      <c r="A3" s="11">
        <v>2</v>
      </c>
      <c r="B3" s="11" t="s">
        <v>282</v>
      </c>
      <c r="D3">
        <f>COUNTIF(Table7[[#This Row],[How did you hear about us?]],"*current member*")</f>
        <v>0</v>
      </c>
      <c r="E3">
        <f>COUNTIF(Table7[[#This Row],[ID]],"*facebook*")</f>
        <v>0</v>
      </c>
      <c r="F3">
        <f>COUNTIF(Table7[[#This Row],[How did you hear about us?]],"*friend*")</f>
        <v>1</v>
      </c>
      <c r="G3">
        <f>COUNTIF(Table7[[#This Row],[ID]],"*online search for makerspace*")</f>
        <v>0</v>
      </c>
      <c r="H3">
        <f>COUNTIF(Table7[[#This Row],[How did you hear about us?]],"*online search for class*")</f>
        <v>0</v>
      </c>
      <c r="I3">
        <f>COUNTIF(Table7[[#This Row],[ID]],"*advertisement*")</f>
        <v>0</v>
      </c>
      <c r="J3" s="6" t="str" cm="1">
        <f t="array" ref="J3">removetexts(Table7[[#This Row],[How did you hear about us?]],Table8[[#Headers],[Current member]:[Online Advertisement]])</f>
        <v/>
      </c>
      <c r="K3" s="6">
        <f>IF(Table8[[#This Row],[Other]]&lt;&gt;"",1,0)</f>
        <v>0</v>
      </c>
      <c r="M3" s="15" t="s">
        <v>308</v>
      </c>
      <c r="N3">
        <f>SUM(Table8[Facebook Group])</f>
        <v>0</v>
      </c>
    </row>
    <row r="4" spans="1:14" x14ac:dyDescent="0.35">
      <c r="A4" s="11">
        <v>3</v>
      </c>
      <c r="B4" s="11" t="s">
        <v>288</v>
      </c>
      <c r="D4">
        <f>COUNTIF(Table7[[#This Row],[How did you hear about us?]],"*current member*")</f>
        <v>0</v>
      </c>
      <c r="E4">
        <f>COUNTIF(Table7[[#This Row],[ID]],"*facebook*")</f>
        <v>0</v>
      </c>
      <c r="F4">
        <f>COUNTIF(Table7[[#This Row],[How did you hear about us?]],"*friend*")</f>
        <v>0</v>
      </c>
      <c r="G4">
        <f>COUNTIF(Table7[[#This Row],[ID]],"*online search for makerspace*")</f>
        <v>0</v>
      </c>
      <c r="H4">
        <f>COUNTIF(Table7[[#This Row],[How did you hear about us?]],"*online search for class*")</f>
        <v>0</v>
      </c>
      <c r="I4">
        <f>COUNTIF(Table7[[#This Row],[ID]],"*advertisement*")</f>
        <v>0</v>
      </c>
      <c r="J4" s="6" t="str" cm="1">
        <f t="array" ref="J4">removetexts(Table7[[#This Row],[How did you hear about us?]],Table8[[#Headers],[Current member]:[Online Advertisement]])</f>
        <v/>
      </c>
      <c r="K4" s="6">
        <f>IF(Table8[[#This Row],[Other]]&lt;&gt;"",1,0)</f>
        <v>0</v>
      </c>
      <c r="M4" s="15" t="s">
        <v>282</v>
      </c>
      <c r="N4">
        <f>SUM(Table8[Friend or other word of mouth])</f>
        <v>3</v>
      </c>
    </row>
    <row r="5" spans="1:14" x14ac:dyDescent="0.35">
      <c r="A5" s="11">
        <v>4</v>
      </c>
      <c r="B5" s="11" t="s">
        <v>282</v>
      </c>
      <c r="D5">
        <f>COUNTIF(Table7[[#This Row],[How did you hear about us?]],"*current member*")</f>
        <v>0</v>
      </c>
      <c r="E5">
        <f>COUNTIF(Table7[[#This Row],[ID]],"*facebook*")</f>
        <v>0</v>
      </c>
      <c r="F5">
        <f>COUNTIF(Table7[[#This Row],[How did you hear about us?]],"*friend*")</f>
        <v>1</v>
      </c>
      <c r="G5">
        <f>COUNTIF(Table7[[#This Row],[ID]],"*online search for makerspace*")</f>
        <v>0</v>
      </c>
      <c r="H5">
        <f>COUNTIF(Table7[[#This Row],[How did you hear about us?]],"*online search for class*")</f>
        <v>0</v>
      </c>
      <c r="I5">
        <f>COUNTIF(Table7[[#This Row],[ID]],"*advertisement*")</f>
        <v>0</v>
      </c>
      <c r="J5" s="6" t="str" cm="1">
        <f t="array" ref="J5">removetexts(Table7[[#This Row],[How did you hear about us?]],Table8[[#Headers],[Current member]:[Online Advertisement]])</f>
        <v/>
      </c>
      <c r="K5" s="6">
        <f>IF(Table8[[#This Row],[Other]]&lt;&gt;"",1,0)</f>
        <v>0</v>
      </c>
      <c r="M5" s="15" t="s">
        <v>288</v>
      </c>
      <c r="N5">
        <f>SUM(Table8[Online search for makerspace])</f>
        <v>0</v>
      </c>
    </row>
    <row r="6" spans="1:14" x14ac:dyDescent="0.35">
      <c r="A6" s="11">
        <v>5</v>
      </c>
      <c r="B6" s="11" t="s">
        <v>305</v>
      </c>
      <c r="D6">
        <f>COUNTIF(Table7[[#This Row],[How did you hear about us?]],"*current member*")</f>
        <v>0</v>
      </c>
      <c r="E6">
        <f>COUNTIF(Table7[[#This Row],[ID]],"*facebook*")</f>
        <v>0</v>
      </c>
      <c r="F6">
        <f>COUNTIF(Table7[[#This Row],[How did you hear about us?]],"*friend*")</f>
        <v>0</v>
      </c>
      <c r="G6">
        <f>COUNTIF(Table7[[#This Row],[ID]],"*online search for makerspace*")</f>
        <v>0</v>
      </c>
      <c r="H6">
        <f>COUNTIF(Table7[[#This Row],[How did you hear about us?]],"*online search for class*")</f>
        <v>1</v>
      </c>
      <c r="I6">
        <f>COUNTIF(Table7[[#This Row],[ID]],"*advertisement*")</f>
        <v>0</v>
      </c>
      <c r="J6" s="6" t="str" cm="1">
        <f t="array" ref="J6">removetexts(Table7[[#This Row],[How did you hear about us?]],Table8[[#Headers],[Current member]:[Online Advertisement]])</f>
        <v/>
      </c>
      <c r="K6" s="6">
        <f>IF(Table8[[#This Row],[Other]]&lt;&gt;"",1,0)</f>
        <v>0</v>
      </c>
      <c r="M6" s="15" t="s">
        <v>305</v>
      </c>
      <c r="N6">
        <f>SUM(Table8[Online search for classes])</f>
        <v>1</v>
      </c>
    </row>
    <row r="7" spans="1:14" x14ac:dyDescent="0.35">
      <c r="A7" s="11">
        <v>6</v>
      </c>
      <c r="B7" s="11" t="s">
        <v>329</v>
      </c>
      <c r="D7" s="11">
        <f>COUNTIF(Table7[[#This Row],[How did you hear about us?]],"*current member*")</f>
        <v>1</v>
      </c>
      <c r="E7">
        <f>COUNTIF(Table7[[#This Row],[ID]],"*facebook*")</f>
        <v>0</v>
      </c>
      <c r="F7">
        <f>COUNTIF(Table7[[#This Row],[How did you hear about us?]],"*friend*")</f>
        <v>1</v>
      </c>
      <c r="G7">
        <f>COUNTIF(Table7[[#This Row],[ID]],"*online search for makerspace*")</f>
        <v>0</v>
      </c>
      <c r="H7">
        <f>COUNTIF(Table7[[#This Row],[How did you hear about us?]],"*online search for class*")</f>
        <v>0</v>
      </c>
      <c r="I7">
        <f>COUNTIF(Table7[[#This Row],[ID]],"*advertisement*")</f>
        <v>0</v>
      </c>
      <c r="J7" t="str" cm="1">
        <f t="array" ref="J7">removetexts(Table7[[#This Row],[How did you hear about us?]],Table8[[#Headers],[Current member]:[Online Advertisement]])</f>
        <v>walked by</v>
      </c>
      <c r="K7">
        <f>IF(Table8[[#This Row],[Other]]&lt;&gt;"",1,0)</f>
        <v>1</v>
      </c>
      <c r="M7" s="15" t="s">
        <v>309</v>
      </c>
      <c r="N7">
        <f>SUM(Table8[Online Advertisement])</f>
        <v>0</v>
      </c>
    </row>
    <row r="8" spans="1:14" x14ac:dyDescent="0.35">
      <c r="A8" s="11">
        <v>7</v>
      </c>
      <c r="B8" s="11" t="s">
        <v>333</v>
      </c>
      <c r="D8" s="11">
        <f>COUNTIF(Table7[[#This Row],[How did you hear about us?]],"*current member*")</f>
        <v>0</v>
      </c>
      <c r="E8">
        <f>COUNTIF(Table7[[#This Row],[ID]],"*facebook*")</f>
        <v>0</v>
      </c>
      <c r="F8">
        <f>COUNTIF(Table7[[#This Row],[How did you hear about us?]],"*friend*")</f>
        <v>0</v>
      </c>
      <c r="G8">
        <f>COUNTIF(Table7[[#This Row],[ID]],"*online search for makerspace*")</f>
        <v>0</v>
      </c>
      <c r="H8">
        <f>COUNTIF(Table7[[#This Row],[How did you hear about us?]],"*online search for class*")</f>
        <v>0</v>
      </c>
      <c r="I8">
        <f>COUNTIF(Table7[[#This Row],[ID]],"*advertisement*")</f>
        <v>0</v>
      </c>
      <c r="J8" t="str" cm="1">
        <f t="array" ref="J8">removetexts(Table7[[#This Row],[How did you hear about us?]],Table8[[#Headers],[Current member]:[Online Advertisement]])</f>
        <v>flyer at my university</v>
      </c>
      <c r="K8">
        <f>IF(Table8[[#This Row],[Other]]&lt;&gt;"",1,0)</f>
        <v>1</v>
      </c>
      <c r="M8" s="15" t="s">
        <v>310</v>
      </c>
      <c r="N8">
        <f>SUM(Table8[Count of Other])</f>
        <v>2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CE2-13A6-4CFD-9888-0C764FC23ACB}">
  <sheetPr codeName="Sheet5"/>
  <dimension ref="A1:L8"/>
  <sheetViews>
    <sheetView workbookViewId="0">
      <selection activeCell="G16" sqref="G16"/>
    </sheetView>
  </sheetViews>
  <sheetFormatPr defaultRowHeight="14.5" x14ac:dyDescent="0.35"/>
  <cols>
    <col min="2" max="3" width="15.08984375" bestFit="1" customWidth="1"/>
    <col min="6" max="6" width="15.1796875" bestFit="1" customWidth="1"/>
    <col min="7" max="7" width="34" bestFit="1" customWidth="1"/>
  </cols>
  <sheetData>
    <row r="1" spans="1:12" x14ac:dyDescent="0.35">
      <c r="A1" s="11" t="s">
        <v>262</v>
      </c>
      <c r="B1" s="11" t="s">
        <v>263</v>
      </c>
      <c r="C1" s="11" t="s">
        <v>264</v>
      </c>
      <c r="D1" s="11"/>
      <c r="E1" s="11"/>
      <c r="F1" s="11" t="s">
        <v>265</v>
      </c>
      <c r="G1" s="11" t="s">
        <v>266</v>
      </c>
      <c r="H1" s="11" t="s">
        <v>267</v>
      </c>
      <c r="I1" s="11" t="s">
        <v>268</v>
      </c>
      <c r="J1" s="11" t="s">
        <v>269</v>
      </c>
      <c r="K1" s="11" t="s">
        <v>270</v>
      </c>
      <c r="L1" s="11" t="s">
        <v>271</v>
      </c>
    </row>
    <row r="2" spans="1:12" x14ac:dyDescent="0.35">
      <c r="A2" s="11">
        <v>1</v>
      </c>
      <c r="B2" s="12">
        <v>44732.681018518502</v>
      </c>
      <c r="C2" s="12">
        <v>44732.681631944397</v>
      </c>
      <c r="D2" s="11"/>
      <c r="E2" s="11"/>
      <c r="F2" s="11" t="s">
        <v>272</v>
      </c>
      <c r="G2" s="11" t="s">
        <v>273</v>
      </c>
      <c r="H2" s="11" t="s">
        <v>274</v>
      </c>
      <c r="I2" s="11" t="s">
        <v>275</v>
      </c>
      <c r="J2" s="11"/>
      <c r="K2" s="11" t="s">
        <v>276</v>
      </c>
      <c r="L2" s="11" t="s">
        <v>277</v>
      </c>
    </row>
    <row r="3" spans="1:12" x14ac:dyDescent="0.35">
      <c r="A3" s="11">
        <v>2</v>
      </c>
      <c r="B3" s="12">
        <v>44732.685844907399</v>
      </c>
      <c r="C3" s="12">
        <v>44732.686666666697</v>
      </c>
      <c r="D3" s="11"/>
      <c r="E3" s="11"/>
      <c r="F3" s="11" t="s">
        <v>278</v>
      </c>
      <c r="G3" s="11" t="s">
        <v>279</v>
      </c>
      <c r="H3" s="11" t="s">
        <v>280</v>
      </c>
      <c r="I3" s="11" t="s">
        <v>281</v>
      </c>
      <c r="J3" s="11"/>
      <c r="K3" s="11" t="s">
        <v>282</v>
      </c>
      <c r="L3" s="11" t="s">
        <v>283</v>
      </c>
    </row>
    <row r="4" spans="1:12" x14ac:dyDescent="0.35">
      <c r="A4" s="11">
        <v>3</v>
      </c>
      <c r="B4" s="12">
        <v>44732.686863425901</v>
      </c>
      <c r="C4" s="12">
        <v>44732.688136574099</v>
      </c>
      <c r="D4" s="11"/>
      <c r="E4" s="11"/>
      <c r="F4" s="11" t="s">
        <v>284</v>
      </c>
      <c r="G4" s="11" t="s">
        <v>285</v>
      </c>
      <c r="H4" s="11" t="s">
        <v>286</v>
      </c>
      <c r="I4" s="11" t="s">
        <v>287</v>
      </c>
      <c r="J4" s="11"/>
      <c r="K4" s="11" t="s">
        <v>288</v>
      </c>
      <c r="L4" s="11" t="s">
        <v>289</v>
      </c>
    </row>
    <row r="5" spans="1:12" x14ac:dyDescent="0.35">
      <c r="A5" s="11">
        <v>4</v>
      </c>
      <c r="B5" s="12">
        <v>44732.688182870399</v>
      </c>
      <c r="C5" s="12">
        <v>44732.692152777803</v>
      </c>
      <c r="D5" s="11"/>
      <c r="E5" s="11"/>
      <c r="F5" s="11" t="s">
        <v>296</v>
      </c>
      <c r="G5" s="11" t="s">
        <v>297</v>
      </c>
      <c r="H5" s="11" t="s">
        <v>298</v>
      </c>
      <c r="I5" s="11" t="s">
        <v>299</v>
      </c>
      <c r="J5" s="11" t="s">
        <v>300</v>
      </c>
      <c r="K5" s="11" t="s">
        <v>282</v>
      </c>
      <c r="L5" s="11" t="s">
        <v>301</v>
      </c>
    </row>
    <row r="6" spans="1:12" x14ac:dyDescent="0.35">
      <c r="A6" s="11">
        <v>5</v>
      </c>
      <c r="B6" s="12">
        <v>44732.692175925898</v>
      </c>
      <c r="C6" s="12">
        <v>44732.694618055597</v>
      </c>
      <c r="D6" s="11"/>
      <c r="E6" s="11"/>
      <c r="F6" s="11" t="s">
        <v>302</v>
      </c>
      <c r="G6" s="11" t="s">
        <v>303</v>
      </c>
      <c r="H6" s="11" t="s">
        <v>304</v>
      </c>
      <c r="I6" s="11" t="s">
        <v>275</v>
      </c>
      <c r="J6" s="11"/>
      <c r="K6" s="11" t="s">
        <v>305</v>
      </c>
      <c r="L6" s="11" t="s">
        <v>306</v>
      </c>
    </row>
    <row r="7" spans="1:12" x14ac:dyDescent="0.35">
      <c r="A7" s="11">
        <v>6</v>
      </c>
      <c r="B7" s="12">
        <v>44734.638391203698</v>
      </c>
      <c r="C7" s="12">
        <v>44734.639837962997</v>
      </c>
      <c r="D7" s="11"/>
      <c r="E7" s="11"/>
      <c r="F7" s="11" t="s">
        <v>326</v>
      </c>
      <c r="G7" s="11" t="s">
        <v>327</v>
      </c>
      <c r="H7" s="11" t="s">
        <v>328</v>
      </c>
      <c r="I7" s="11" t="s">
        <v>275</v>
      </c>
      <c r="J7" s="11"/>
      <c r="K7" s="11" t="s">
        <v>329</v>
      </c>
      <c r="L7" s="11"/>
    </row>
    <row r="8" spans="1:12" x14ac:dyDescent="0.35">
      <c r="A8" s="11">
        <v>7</v>
      </c>
      <c r="B8" s="12">
        <v>44734.6398611111</v>
      </c>
      <c r="C8" s="12">
        <v>44734.645138888904</v>
      </c>
      <c r="D8" s="11"/>
      <c r="E8" s="11"/>
      <c r="F8" s="11" t="s">
        <v>330</v>
      </c>
      <c r="G8" s="11" t="s">
        <v>331</v>
      </c>
      <c r="H8" s="11" t="s">
        <v>332</v>
      </c>
      <c r="I8" s="11" t="s">
        <v>287</v>
      </c>
      <c r="J8" s="11"/>
      <c r="K8" s="11" t="s">
        <v>333</v>
      </c>
      <c r="L8" s="11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Demographics</vt:lpstr>
      <vt:lpstr>Borrowers</vt:lpstr>
      <vt:lpstr>Attendance</vt:lpstr>
      <vt:lpstr>Computer Users</vt:lpstr>
      <vt:lpstr>Makerspace Member List</vt:lpstr>
      <vt:lpstr>Makerspace Marketing</vt:lpstr>
      <vt:lpstr>Copyfromhere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 Fox</dc:creator>
  <cp:lastModifiedBy>Jen Fox</cp:lastModifiedBy>
  <dcterms:created xsi:type="dcterms:W3CDTF">2022-06-17T00:39:06Z</dcterms:created>
  <dcterms:modified xsi:type="dcterms:W3CDTF">2022-06-24T18:58:02Z</dcterms:modified>
</cp:coreProperties>
</file>